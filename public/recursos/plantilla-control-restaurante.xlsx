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shboard" sheetId="2" state="visible" r:id="rId4"/>
    <sheet name="Ventas" sheetId="3" state="visible" r:id="rId5"/>
    <sheet name="Escandallos" sheetId="4" state="visible" r:id="rId6"/>
    <sheet name="Carta" sheetId="5" state="visible" r:id="rId7"/>
    <sheet name="Bebidas" sheetId="6" state="visible" r:id="rId8"/>
    <sheet name="Personal" sheetId="7" state="visible" r:id="rId9"/>
    <sheet name="Gastos" sheetId="8" state="visible" r:id="rId10"/>
    <sheet name="Deud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<sst xmlns="http://schemas.openxmlformats.org/spreadsheetml/2006/main" count="299" uniqueCount="203">
  <si>
    <t xml:space="preserve">STARTIDEA · CONTROL ECONÓMICO DEL RESTAURANTE</t>
  </si>
  <si>
    <t xml:space="preserve">Plantilla para conocer la rentabilidad real del negocio: ventas, costes, márgenes, deuda y punto de equilibrio.</t>
  </si>
  <si>
    <t xml:space="preserve">CÓMO USAR ESTA PLANTILLA</t>
  </si>
  <si>
    <t xml:space="preserve">1. Todos los números que ves ahora son DE EJEMPLO. Sustitúyelos por los datos reales del restaurante.</t>
  </si>
  <si>
    <t xml:space="preserve">2. Rellena solo las celdas con fondo amarillo y texto azul. Las celdas en negro son fórmulas: no las toques.</t>
  </si>
  <si>
    <t xml:space="preserve">3. Empieza por VENTAS (un mes de ventas diarias) y GASTOS. Son las hojas más importantes.</t>
  </si>
  <si>
    <t xml:space="preserve">4. Sigue con CARTA (platos, precios y unidades vendidas al mes) y BEBIDAS.</t>
  </si>
  <si>
    <t xml:space="preserve">5. Si conoces los ingredientes y costes de cada plato, rellena ESCANDALLOS: la Carta calculará el margen real por plato.</t>
  </si>
  <si>
    <t xml:space="preserve">6. Completa PERSONAL (sueldos) y DEUDA (préstamos y cuotas).</t>
  </si>
  <si>
    <t xml:space="preserve">7. El DASHBOARD se calcula solo y responde: cuánto ganas, cuánto necesitas facturar para no perder dinero, qué platos dejan dinero y cuáles no.</t>
  </si>
  <si>
    <t xml:space="preserve">LEYENDA DE COLORES</t>
  </si>
  <si>
    <t xml:space="preserve">• Fondo amarillo + texto azul → dato que debes introducir.</t>
  </si>
  <si>
    <t xml:space="preserve">• Texto negro → fórmula automática (no tocar).</t>
  </si>
  <si>
    <t xml:space="preserve">• Texto verde → dato traído de otra hoja (no tocar).</t>
  </si>
  <si>
    <t xml:space="preserve">DATOS QUE CONVIENE RECOPILAR ANTES DE EMPEZAR</t>
  </si>
  <si>
    <t xml:space="preserve">✔ Ventas diarias de un mes completo (tique de cierre de caja): total, y si es posible separado comida/bebida y nº de clientes.</t>
  </si>
  <si>
    <t xml:space="preserve">✔ Carta con precios y, aproximadamente, cuántas unidades se venden de cada plato al mes.</t>
  </si>
  <si>
    <t xml:space="preserve">✔ Facturas de proveedores de comida y bebida del mes (para costes de materia prima).</t>
  </si>
  <si>
    <t xml:space="preserve">✔ Nóminas: sueldo bruto de cada empleado (la Seguridad Social a cargo de la empresa se estima con un %).</t>
  </si>
  <si>
    <t xml:space="preserve">✔ Gastos fijos: alquiler, luz, gas, agua, gestoría, seguros, marketing, comisiones de delivery, etc.</t>
  </si>
  <si>
    <t xml:space="preserve">✔ Préstamos y deudas: capital pendiente, cuota mensual y meses restantes de cada uno.</t>
  </si>
  <si>
    <t xml:space="preserve">No pasa nada si falta algún dato: cuanto más se complete, más preciso será el diagnóstico.</t>
  </si>
  <si>
    <t xml:space="preserve">Plantilla elaborada por Startidea · startidea.es</t>
  </si>
  <si>
    <t xml:space="preserve">📊 DASHBOARD · RADIOGRAFÍA DEL RESTAURANTE</t>
  </si>
  <si>
    <t xml:space="preserve">Se calcula automáticamente a partir del resto de hojas. No escribas aquí salvo en el simulador (amarillo).</t>
  </si>
  <si>
    <t xml:space="preserve">VENTAS</t>
  </si>
  <si>
    <t xml:space="preserve">Facturación mensual</t>
  </si>
  <si>
    <t xml:space="preserve">Cubiertos / clientes al mes</t>
  </si>
  <si>
    <t xml:space="preserve">Ticket medio</t>
  </si>
  <si>
    <t xml:space="preserve">Ventas de comida</t>
  </si>
  <si>
    <t xml:space="preserve">% sobre ventas</t>
  </si>
  <si>
    <t xml:space="preserve">Ventas de bebida</t>
  </si>
  <si>
    <t xml:space="preserve">objetivo habitual: 25-30%</t>
  </si>
  <si>
    <t xml:space="preserve">COSTES</t>
  </si>
  <si>
    <t xml:space="preserve">Coste materia prima comida</t>
  </si>
  <si>
    <t xml:space="preserve">Food cost (obj. 28-32%)</t>
  </si>
  <si>
    <t xml:space="preserve">Coste bebidas</t>
  </si>
  <si>
    <t xml:space="preserve">Beverage cost (obj. 20-25%)</t>
  </si>
  <si>
    <t xml:space="preserve">Coste de personal</t>
  </si>
  <si>
    <t xml:space="preserve">obj. 30-35% de ventas</t>
  </si>
  <si>
    <t xml:space="preserve">PRIME COST (materia prima + personal)</t>
  </si>
  <si>
    <t xml:space="preserve">obj. &lt; 60-65% de ventas</t>
  </si>
  <si>
    <t xml:space="preserve">Gastos operativos</t>
  </si>
  <si>
    <t xml:space="preserve">RENTABILIDAD</t>
  </si>
  <si>
    <t xml:space="preserve">Costes fijos (personal + gastos fijos)</t>
  </si>
  <si>
    <t xml:space="preserve">Margen de contribución</t>
  </si>
  <si>
    <t xml:space="preserve">de cada 100 € vendidos, lo que queda para cubrir fijos</t>
  </si>
  <si>
    <t xml:space="preserve">PUNTO DE EQUILIBRIO mensual</t>
  </si>
  <si>
    <t xml:space="preserve">facturación mínima para no perder dinero</t>
  </si>
  <si>
    <t xml:space="preserve">Resultado operativo</t>
  </si>
  <si>
    <t xml:space="preserve">margen operativo</t>
  </si>
  <si>
    <t xml:space="preserve">Resultado tras cuotas de deuda</t>
  </si>
  <si>
    <t xml:space="preserve">caja que queda cada mes tras pagar préstamos</t>
  </si>
  <si>
    <t xml:space="preserve">DEUDA</t>
  </si>
  <si>
    <t xml:space="preserve">Cuota mensual total de deuda</t>
  </si>
  <si>
    <t xml:space="preserve">% de ventas que se va en cuotas</t>
  </si>
  <si>
    <t xml:space="preserve">Deuda total pendiente</t>
  </si>
  <si>
    <t xml:space="preserve">años de resultado para pagarla</t>
  </si>
  <si>
    <t xml:space="preserve">SIMULADOR · ¿Y SI...?</t>
  </si>
  <si>
    <t xml:space="preserve">Subo los precios un…</t>
  </si>
  <si>
    <t xml:space="preserve">€ extra al mes (mismo volumen de clientes)</t>
  </si>
  <si>
    <t xml:space="preserve">Aumento el ticket medio en… (€)</t>
  </si>
  <si>
    <t xml:space="preserve">€ extra al mes (postre, vino, sugerencias…)</t>
  </si>
  <si>
    <t xml:space="preserve">Compro materia prima un … más barata</t>
  </si>
  <si>
    <t xml:space="preserve">€ de ahorro al mes (renegociar proveedores)</t>
  </si>
  <si>
    <t xml:space="preserve">Plantilla Startidea · los datos actuales son de ejemplo.</t>
  </si>
  <si>
    <t xml:space="preserve">VENTAS DIARIAS DEL MES</t>
  </si>
  <si>
    <t xml:space="preserve">Día</t>
  </si>
  <si>
    <t xml:space="preserve">Cubiertos</t>
  </si>
  <si>
    <t xml:space="preserve">Ventas comida (€)</t>
  </si>
  <si>
    <t xml:space="preserve">Ventas bebida (€)</t>
  </si>
  <si>
    <t xml:space="preserve">Total (€)</t>
  </si>
  <si>
    <t xml:space="preserve">Ticket medio (€)</t>
  </si>
  <si>
    <t xml:space="preserve">TOTAL</t>
  </si>
  <si>
    <t xml:space="preserve">Los días sin actividad (cierre) se dejan en blanco. Datos actuales: EJEMPLO.</t>
  </si>
  <si>
    <t xml:space="preserve">ESCANDALLOS · COSTE DE CADA PLATO</t>
  </si>
  <si>
    <t xml:space="preserve">Plato</t>
  </si>
  <si>
    <t xml:space="preserve">Ingrediente</t>
  </si>
  <si>
    <t xml:space="preserve">Cantidad</t>
  </si>
  <si>
    <t xml:space="preserve">Unidad</t>
  </si>
  <si>
    <t xml:space="preserve">Precio (€/ud)</t>
  </si>
  <si>
    <t xml:space="preserve">Merma %</t>
  </si>
  <si>
    <t xml:space="preserve">Coste (€)</t>
  </si>
  <si>
    <t xml:space="preserve">Croquetas caseras</t>
  </si>
  <si>
    <t xml:space="preserve">Jamón ibérico</t>
  </si>
  <si>
    <t xml:space="preserve">kg</t>
  </si>
  <si>
    <t xml:space="preserve">Bechamel (leche, harina, mantequilla)</t>
  </si>
  <si>
    <t xml:space="preserve">Pan rallado y huevo</t>
  </si>
  <si>
    <t xml:space="preserve">Aceite de fritura</t>
  </si>
  <si>
    <t xml:space="preserve">l</t>
  </si>
  <si>
    <t xml:space="preserve">Ensaladilla rusa</t>
  </si>
  <si>
    <t xml:space="preserve">Patata y verduras</t>
  </si>
  <si>
    <t xml:space="preserve">Atún y huevo</t>
  </si>
  <si>
    <t xml:space="preserve">Mayonesa</t>
  </si>
  <si>
    <t xml:space="preserve">Pulpo a la brasa</t>
  </si>
  <si>
    <t xml:space="preserve">Pulpo cocido</t>
  </si>
  <si>
    <t xml:space="preserve">Patata y pimentón</t>
  </si>
  <si>
    <t xml:space="preserve">Aceite de oliva virgen</t>
  </si>
  <si>
    <t xml:space="preserve">Solomillo ibérico</t>
  </si>
  <si>
    <t xml:space="preserve">Solomillo de cerdo ibérico</t>
  </si>
  <si>
    <t xml:space="preserve">Guarnición y salsa</t>
  </si>
  <si>
    <t xml:space="preserve">Entrecot de ternera</t>
  </si>
  <si>
    <t xml:space="preserve">Entrecot</t>
  </si>
  <si>
    <t xml:space="preserve">Guarnición</t>
  </si>
  <si>
    <t xml:space="preserve">Hamburguesa gourmet</t>
  </si>
  <si>
    <t xml:space="preserve">Carne de vacuno picada</t>
  </si>
  <si>
    <t xml:space="preserve">Pan brioche</t>
  </si>
  <si>
    <t xml:space="preserve">ud</t>
  </si>
  <si>
    <t xml:space="preserve">Queso, bacon y salsas</t>
  </si>
  <si>
    <t xml:space="preserve">Patatas fritas</t>
  </si>
  <si>
    <t xml:space="preserve">Lubina a la plancha</t>
  </si>
  <si>
    <t xml:space="preserve">Lubina</t>
  </si>
  <si>
    <t xml:space="preserve">Bacalao confitado</t>
  </si>
  <si>
    <t xml:space="preserve">Lomo de bacalao</t>
  </si>
  <si>
    <t xml:space="preserve">Pil-pil y guarnición</t>
  </si>
  <si>
    <t xml:space="preserve">Paella (ración)</t>
  </si>
  <si>
    <t xml:space="preserve">Arroz</t>
  </si>
  <si>
    <t xml:space="preserve">Marisco y pollo</t>
  </si>
  <si>
    <t xml:space="preserve">Caldo, sofrito y azafrán</t>
  </si>
  <si>
    <t xml:space="preserve">Risotto de setas</t>
  </si>
  <si>
    <t xml:space="preserve">Arroz arborio</t>
  </si>
  <si>
    <t xml:space="preserve">Setas variadas</t>
  </si>
  <si>
    <t xml:space="preserve">Parmesano, nata y caldo</t>
  </si>
  <si>
    <t xml:space="preserve">Tarta de queso</t>
  </si>
  <si>
    <t xml:space="preserve">Queso crema y nata</t>
  </si>
  <si>
    <t xml:space="preserve">Base de galleta y huevo</t>
  </si>
  <si>
    <t xml:space="preserve">Coulant de chocolate</t>
  </si>
  <si>
    <t xml:space="preserve">Chocolate 70%</t>
  </si>
  <si>
    <t xml:space="preserve">Mantequilla, huevo y harina</t>
  </si>
  <si>
    <t xml:space="preserve">Helado de vainilla</t>
  </si>
  <si>
    <t xml:space="preserve">Coste = cantidad × precio ÷ (1 − merma). La merma es el % que se pierde al limpiar/cocinar.</t>
  </si>
  <si>
    <t xml:space="preserve">CARTA · RENTABILIDAD POR PLATO</t>
  </si>
  <si>
    <t xml:space="preserve">Categoría</t>
  </si>
  <si>
    <t xml:space="preserve">PVP (€)</t>
  </si>
  <si>
    <t xml:space="preserve">Unidades/mes</t>
  </si>
  <si>
    <t xml:space="preserve">Coste ración (€)</t>
  </si>
  <si>
    <t xml:space="preserve">Ingresos (€)</t>
  </si>
  <si>
    <t xml:space="preserve">Coste total (€)</t>
  </si>
  <si>
    <t xml:space="preserve">Margen (€)</t>
  </si>
  <si>
    <t xml:space="preserve">Margen %</t>
  </si>
  <si>
    <t xml:space="preserve">Food cost plato</t>
  </si>
  <si>
    <t xml:space="preserve">Clasificación</t>
  </si>
  <si>
    <t xml:space="preserve">Entrante</t>
  </si>
  <si>
    <t xml:space="preserve">Carne</t>
  </si>
  <si>
    <t xml:space="preserve">Pescado</t>
  </si>
  <si>
    <t xml:space="preserve">Postre</t>
  </si>
  <si>
    <t xml:space="preserve">Media (para clasificar)</t>
  </si>
  <si>
    <t xml:space="preserve">El coste de ración llega automáticamente desde la hoja Escandallos. Clasificación: ingeniería de menú (popularidad × margen frente a la media).</t>
  </si>
  <si>
    <t xml:space="preserve">BEBIDAS · MARGEN POR PRODUCTO</t>
  </si>
  <si>
    <t xml:space="preserve">Bebida</t>
  </si>
  <si>
    <t xml:space="preserve">Coste (€/ud)</t>
  </si>
  <si>
    <t xml:space="preserve">Caña de cerveza</t>
  </si>
  <si>
    <t xml:space="preserve">Copa de vino</t>
  </si>
  <si>
    <t xml:space="preserve">Botella de vino</t>
  </si>
  <si>
    <t xml:space="preserve">Refresco</t>
  </si>
  <si>
    <t xml:space="preserve">Agua</t>
  </si>
  <si>
    <t xml:space="preserve">Café</t>
  </si>
  <si>
    <t xml:space="preserve">Gin-tonic / combinado</t>
  </si>
  <si>
    <t xml:space="preserve">Zumo natural</t>
  </si>
  <si>
    <t xml:space="preserve">PERSONAL · COSTE LABORAL MENSUAL</t>
  </si>
  <si>
    <t xml:space="preserve">Puesto / empleado</t>
  </si>
  <si>
    <t xml:space="preserve">Sueldo bruto (€)</t>
  </si>
  <si>
    <t xml:space="preserve">% SS empresa</t>
  </si>
  <si>
    <t xml:space="preserve">Coste SS (€)</t>
  </si>
  <si>
    <t xml:space="preserve">Cocinero jefe</t>
  </si>
  <si>
    <t xml:space="preserve">Segundo de cocina</t>
  </si>
  <si>
    <t xml:space="preserve">Ayudante de cocina</t>
  </si>
  <si>
    <t xml:space="preserve">Encargado de sala</t>
  </si>
  <si>
    <t xml:space="preserve">Camarero/a 1</t>
  </si>
  <si>
    <t xml:space="preserve">Camarero/a 2</t>
  </si>
  <si>
    <t xml:space="preserve">Camarero/a 3</t>
  </si>
  <si>
    <t xml:space="preserve">Extras fin de semana</t>
  </si>
  <si>
    <t xml:space="preserve">El 32% de Seguridad Social a cargo de la empresa es una estimación habitual en hostelería; ajústalo con la gestoría.</t>
  </si>
  <si>
    <t xml:space="preserve">GASTOS OPERATIVOS MENSUALES</t>
  </si>
  <si>
    <t xml:space="preserve">Concepto</t>
  </si>
  <si>
    <t xml:space="preserve">Tipo</t>
  </si>
  <si>
    <t xml:space="preserve">Importe (€/mes)</t>
  </si>
  <si>
    <t xml:space="preserve">Alquiler</t>
  </si>
  <si>
    <t xml:space="preserve">Fijo</t>
  </si>
  <si>
    <t xml:space="preserve">Luz</t>
  </si>
  <si>
    <t xml:space="preserve">Variable</t>
  </si>
  <si>
    <t xml:space="preserve">Gas</t>
  </si>
  <si>
    <t xml:space="preserve">Gestoría</t>
  </si>
  <si>
    <t xml:space="preserve">Marketing</t>
  </si>
  <si>
    <t xml:space="preserve">Comisiones delivery (Glovo, etc.)</t>
  </si>
  <si>
    <t xml:space="preserve">Seguros</t>
  </si>
  <si>
    <t xml:space="preserve">Mantenimiento y reparaciones</t>
  </si>
  <si>
    <t xml:space="preserve">Música y licencias</t>
  </si>
  <si>
    <t xml:space="preserve">Menaje y limpieza</t>
  </si>
  <si>
    <t xml:space="preserve">Otros</t>
  </si>
  <si>
    <t xml:space="preserve">Total gastos FIJOS</t>
  </si>
  <si>
    <t xml:space="preserve">Total gastos VARIABLES</t>
  </si>
  <si>
    <t xml:space="preserve">En Tipo escribe exactamente "Fijo" o "Variable". Fijo = se paga aunque no haya clientes.</t>
  </si>
  <si>
    <t xml:space="preserve">DEUDA Y FINANCIACIÓN</t>
  </si>
  <si>
    <t xml:space="preserve">Préstamo / acreedor</t>
  </si>
  <si>
    <t xml:space="preserve">Capital pendiente (€)</t>
  </si>
  <si>
    <t xml:space="preserve">Interés %</t>
  </si>
  <si>
    <t xml:space="preserve">Cuota mensual (€)</t>
  </si>
  <si>
    <t xml:space="preserve">Meses restantes</t>
  </si>
  <si>
    <t xml:space="preserve">Préstamo ICO</t>
  </si>
  <si>
    <t xml:space="preserve">Préstamo reforma local</t>
  </si>
  <si>
    <t xml:space="preserve">Aplazamiento proveedores</t>
  </si>
  <si>
    <t xml:space="preserve">Con esta hoja se ve el endeudamiento total y qué parte de las ventas se va en cuotas (Dashboard).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</si>
</sst>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&quot; €&quot;"/>
    <numFmt numFmtId="166" formatCode="#,##0"/>
    <numFmt numFmtId="167" formatCode="#,##0.00&quot; €&quot;"/>
    <numFmt numFmtId="168" formatCode="0.0%"/>
    <numFmt numFmtId="169" formatCode="0.0"/>
    <numFmt numFmtId="170" formatCode="0.00"/>
    <numFmt numFmtId="171" formatCode="0\ 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C8C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C8C8C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3"/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B20" s="4" t="s">
        <v>14</v>
      </c>
    </row>
    <row r="21" customFormat="false" ht="15" hidden="false" customHeight="false" outlineLevel="0" collapsed="false">
      <c r="B21" s="3" t="s">
        <v>15</v>
      </c>
    </row>
    <row r="22" customFormat="false" ht="15" hidden="false" customHeight="false" outlineLevel="0" collapsed="false">
      <c r="B22" s="3" t="s">
        <v>16</v>
      </c>
    </row>
    <row r="23" customFormat="false" ht="15" hidden="false" customHeight="false" outlineLevel="0" collapsed="false">
      <c r="B23" s="3" t="s">
        <v>17</v>
      </c>
    </row>
    <row r="24" customFormat="false" ht="15" hidden="false" customHeight="false" outlineLevel="0" collapsed="false">
      <c r="B24" s="3" t="s">
        <v>18</v>
      </c>
    </row>
    <row r="25" customFormat="false" ht="15" hidden="false" customHeight="false" outlineLevel="0" collapsed="false">
      <c r="B25" s="3" t="s">
        <v>19</v>
      </c>
    </row>
    <row r="26" customFormat="false" ht="15" hidden="false" customHeight="false" outlineLevel="0" collapsed="false">
      <c r="B26" s="3" t="s">
        <v>20</v>
      </c>
    </row>
    <row r="27" customFormat="false" ht="15" hidden="false" customHeight="false" outlineLevel="0" collapsed="false">
      <c r="B27" s="3"/>
    </row>
    <row r="28" customFormat="false" ht="15" hidden="false" customHeight="false" outlineLevel="0" collapsed="false">
      <c r="B28" s="3" t="s">
        <v>21</v>
      </c>
    </row>
    <row r="29" customFormat="false" ht="15" hidden="false" customHeight="false" outlineLevel="0" collapsed="false">
      <c r="B29" s="3"/>
    </row>
    <row r="30" customFormat="false" ht="15" hidden="false" customHeight="false" outlineLevel="0" collapsed="false">
      <c r="B30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40"/>
  </cols>
  <sheetData>
    <row r="1" customFormat="false" ht="17.35" hidden="false" customHeight="false" outlineLevel="0" collapsed="false">
      <c r="B1" s="1" t="s">
        <v>23</v>
      </c>
    </row>
    <row r="2" customFormat="false" ht="15" hidden="false" customHeight="false" outlineLevel="0" collapsed="false">
      <c r="B2" s="5" t="s">
        <v>24</v>
      </c>
    </row>
    <row r="4" customFormat="false" ht="15" hidden="false" customHeight="false" outlineLevel="0" collapsed="false">
      <c r="B4" s="6" t="s">
        <v>25</v>
      </c>
      <c r="C4" s="7"/>
      <c r="D4" s="7"/>
      <c r="E4" s="7"/>
    </row>
    <row r="5" customFormat="false" ht="15" hidden="false" customHeight="false" outlineLevel="0" collapsed="false">
      <c r="B5" s="8" t="s">
        <v>26</v>
      </c>
      <c r="C5" s="9" t="n">
        <f aca="false">Ventas!E34</f>
        <v>43320</v>
      </c>
    </row>
    <row r="6" customFormat="false" ht="15" hidden="false" customHeight="false" outlineLevel="0" collapsed="false">
      <c r="B6" s="8" t="s">
        <v>27</v>
      </c>
      <c r="C6" s="10" t="n">
        <f aca="false">Ventas!B34</f>
        <v>1604</v>
      </c>
    </row>
    <row r="7" customFormat="false" ht="15" hidden="false" customHeight="false" outlineLevel="0" collapsed="false">
      <c r="B7" s="8" t="s">
        <v>28</v>
      </c>
      <c r="C7" s="11" t="n">
        <f aca="false">IF(C6=0,"",C5/C6)</f>
        <v>27.0074812967581</v>
      </c>
    </row>
    <row r="8" customFormat="false" ht="15" hidden="false" customHeight="false" outlineLevel="0" collapsed="false">
      <c r="B8" s="8" t="s">
        <v>29</v>
      </c>
      <c r="C8" s="9" t="n">
        <f aca="false">Ventas!C34</f>
        <v>30500</v>
      </c>
      <c r="D8" s="12" t="n">
        <f aca="false">IF(C5=0,"",C8/C5)</f>
        <v>0.704062788550323</v>
      </c>
      <c r="E8" s="13" t="s">
        <v>30</v>
      </c>
    </row>
    <row r="9" customFormat="false" ht="15" hidden="false" customHeight="false" outlineLevel="0" collapsed="false">
      <c r="B9" s="8" t="s">
        <v>31</v>
      </c>
      <c r="C9" s="9" t="n">
        <f aca="false">Ventas!D34</f>
        <v>12820</v>
      </c>
      <c r="D9" s="12" t="n">
        <f aca="false">IF(C5=0,"",C9/C5)</f>
        <v>0.295937211449677</v>
      </c>
      <c r="E9" s="13" t="s">
        <v>32</v>
      </c>
    </row>
    <row r="11" customFormat="false" ht="15" hidden="false" customHeight="false" outlineLevel="0" collapsed="false">
      <c r="B11" s="6" t="s">
        <v>33</v>
      </c>
      <c r="C11" s="7"/>
      <c r="D11" s="7"/>
      <c r="E11" s="7"/>
    </row>
    <row r="12" customFormat="false" ht="15" hidden="false" customHeight="false" outlineLevel="0" collapsed="false">
      <c r="B12" s="8" t="s">
        <v>34</v>
      </c>
      <c r="C12" s="9" t="n">
        <f aca="false">Carta!G24</f>
        <v>7969.44684196187</v>
      </c>
      <c r="D12" s="12" t="n">
        <f aca="false">IFERROR(C12/Carta!F24,"")</f>
        <v>0.261199136113594</v>
      </c>
      <c r="E12" s="13" t="s">
        <v>35</v>
      </c>
    </row>
    <row r="13" customFormat="false" ht="15" hidden="false" customHeight="false" outlineLevel="0" collapsed="false">
      <c r="B13" s="8" t="s">
        <v>36</v>
      </c>
      <c r="C13" s="9" t="n">
        <f aca="false">Bebidas!F16</f>
        <v>3452</v>
      </c>
      <c r="D13" s="12" t="n">
        <f aca="false">IFERROR(C13/Bebidas!E16,"")</f>
        <v>0.235792349726776</v>
      </c>
      <c r="E13" s="13" t="s">
        <v>37</v>
      </c>
    </row>
    <row r="14" customFormat="false" ht="15" hidden="false" customHeight="false" outlineLevel="0" collapsed="false">
      <c r="B14" s="8" t="s">
        <v>38</v>
      </c>
      <c r="C14" s="9" t="n">
        <f aca="false">Personal!E12</f>
        <v>15774</v>
      </c>
      <c r="D14" s="12" t="n">
        <f aca="false">IF(C5=0,"",C14/C5)</f>
        <v>0.364127423822715</v>
      </c>
      <c r="E14" s="13" t="s">
        <v>39</v>
      </c>
    </row>
    <row r="15" customFormat="false" ht="15" hidden="false" customHeight="false" outlineLevel="0" collapsed="false">
      <c r="B15" s="8" t="s">
        <v>40</v>
      </c>
      <c r="C15" s="14" t="n">
        <f aca="false">C12+C13+C14</f>
        <v>27195.4468419619</v>
      </c>
      <c r="D15" s="12" t="n">
        <f aca="false">IF(C5=0,"",C15/C5)</f>
        <v>0.627780398013894</v>
      </c>
      <c r="E15" s="13" t="s">
        <v>41</v>
      </c>
    </row>
    <row r="16" customFormat="false" ht="15" hidden="false" customHeight="false" outlineLevel="0" collapsed="false">
      <c r="B16" s="8" t="s">
        <v>42</v>
      </c>
      <c r="C16" s="9" t="n">
        <f aca="false">Gastos!C16</f>
        <v>7240</v>
      </c>
      <c r="D16" s="12" t="n">
        <f aca="false">IF(C5=0,"",C16/C5)</f>
        <v>0.167128347183749</v>
      </c>
    </row>
    <row r="18" customFormat="false" ht="15" hidden="false" customHeight="false" outlineLevel="0" collapsed="false">
      <c r="B18" s="6" t="s">
        <v>43</v>
      </c>
      <c r="C18" s="7"/>
      <c r="D18" s="7"/>
      <c r="E18" s="7"/>
    </row>
    <row r="19" customFormat="false" ht="15" hidden="false" customHeight="false" outlineLevel="0" collapsed="false">
      <c r="B19" s="8" t="s">
        <v>44</v>
      </c>
      <c r="C19" s="9" t="n">
        <f aca="false">C14+Gastos!C17</f>
        <v>20384</v>
      </c>
    </row>
    <row r="20" customFormat="false" ht="15" hidden="false" customHeight="false" outlineLevel="0" collapsed="false">
      <c r="B20" s="8" t="s">
        <v>45</v>
      </c>
      <c r="C20" s="15" t="n">
        <f aca="false">IF(C5=0,"",1-(C12+C13+Gastos!C18)/C5)</f>
        <v>0.675636037812515</v>
      </c>
      <c r="E20" s="13" t="s">
        <v>46</v>
      </c>
    </row>
    <row r="21" customFormat="false" ht="15" hidden="false" customHeight="false" outlineLevel="0" collapsed="false">
      <c r="B21" s="8" t="s">
        <v>47</v>
      </c>
      <c r="C21" s="14" t="n">
        <f aca="false">IFERROR(C19/C20,"")</f>
        <v>30170.0898992846</v>
      </c>
      <c r="E21" s="13" t="s">
        <v>48</v>
      </c>
    </row>
    <row r="22" customFormat="false" ht="15" hidden="false" customHeight="false" outlineLevel="0" collapsed="false">
      <c r="B22" s="8" t="s">
        <v>49</v>
      </c>
      <c r="C22" s="14" t="n">
        <f aca="false">IF(C5=0,"",C5-C12-C13-C14-C16)</f>
        <v>8884.55315803814</v>
      </c>
      <c r="D22" s="12" t="n">
        <f aca="false">IF(C5=0,"",C22/C5)</f>
        <v>0.205091254802358</v>
      </c>
      <c r="E22" s="13" t="s">
        <v>50</v>
      </c>
    </row>
    <row r="23" customFormat="false" ht="15" hidden="false" customHeight="false" outlineLevel="0" collapsed="false">
      <c r="B23" s="8" t="s">
        <v>51</v>
      </c>
      <c r="C23" s="14" t="n">
        <f aca="false">IF(C5=0,"",C22-C25)</f>
        <v>7044.55315803814</v>
      </c>
      <c r="E23" s="13" t="s">
        <v>52</v>
      </c>
    </row>
    <row r="24" customFormat="false" ht="15" hidden="false" customHeight="false" outlineLevel="0" collapsed="false">
      <c r="B24" s="6" t="s">
        <v>53</v>
      </c>
      <c r="C24" s="7"/>
      <c r="D24" s="7"/>
      <c r="E24" s="7"/>
    </row>
    <row r="25" customFormat="false" ht="15" hidden="false" customHeight="false" outlineLevel="0" collapsed="false">
      <c r="B25" s="8" t="s">
        <v>54</v>
      </c>
      <c r="C25" s="9" t="n">
        <f aca="false">Deuda!D11</f>
        <v>1840</v>
      </c>
      <c r="D25" s="12" t="n">
        <f aca="false">IF(C5=0,"",C25/C5)</f>
        <v>0.0424746075715605</v>
      </c>
      <c r="E25" s="13" t="s">
        <v>55</v>
      </c>
    </row>
    <row r="26" customFormat="false" ht="15" hidden="false" customHeight="false" outlineLevel="0" collapsed="false">
      <c r="B26" s="8" t="s">
        <v>56</v>
      </c>
      <c r="C26" s="9" t="n">
        <f aca="false">Deuda!B11</f>
        <v>69000</v>
      </c>
      <c r="D26" s="16" t="n">
        <f aca="false">IF(C22=0,"",C26/(C22*12))</f>
        <v>0.647190680017238</v>
      </c>
      <c r="E26" s="13" t="s">
        <v>57</v>
      </c>
    </row>
    <row r="28" customFormat="false" ht="15" hidden="false" customHeight="false" outlineLevel="0" collapsed="false">
      <c r="B28" s="6" t="s">
        <v>58</v>
      </c>
      <c r="C28" s="7"/>
      <c r="D28" s="7"/>
      <c r="E28" s="7"/>
    </row>
    <row r="29" customFormat="false" ht="15" hidden="false" customHeight="false" outlineLevel="0" collapsed="false">
      <c r="B29" s="8" t="s">
        <v>59</v>
      </c>
      <c r="C29" s="17" t="n">
        <v>0.05</v>
      </c>
      <c r="D29" s="14" t="n">
        <f aca="false">C5*C29</f>
        <v>2166</v>
      </c>
      <c r="E29" s="13" t="s">
        <v>60</v>
      </c>
    </row>
    <row r="30" customFormat="false" ht="15" hidden="false" customHeight="false" outlineLevel="0" collapsed="false">
      <c r="B30" s="8" t="s">
        <v>61</v>
      </c>
      <c r="C30" s="18" t="n">
        <v>2</v>
      </c>
      <c r="D30" s="14" t="n">
        <f aca="false">C6*C30</f>
        <v>3208</v>
      </c>
      <c r="E30" s="13" t="s">
        <v>62</v>
      </c>
    </row>
    <row r="31" customFormat="false" ht="15" hidden="false" customHeight="false" outlineLevel="0" collapsed="false">
      <c r="B31" s="8" t="s">
        <v>63</v>
      </c>
      <c r="C31" s="17" t="n">
        <v>0.08</v>
      </c>
      <c r="D31" s="14" t="n">
        <f aca="false">(C12+C13)*C31</f>
        <v>913.71574735695</v>
      </c>
      <c r="E31" s="13" t="s">
        <v>64</v>
      </c>
    </row>
    <row r="33" customFormat="false" ht="15" hidden="false" customHeight="false" outlineLevel="0" collapsed="false">
      <c r="B33" s="19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13"/>
  </cols>
  <sheetData>
    <row r="1" customFormat="false" ht="17.35" hidden="false" customHeight="false" outlineLevel="0" collapsed="false">
      <c r="A1" s="1" t="s">
        <v>66</v>
      </c>
    </row>
    <row r="3" customFormat="false" ht="23.85" hidden="false" customHeight="false" outlineLevel="0" collapsed="false">
      <c r="A3" s="20" t="s">
        <v>67</v>
      </c>
      <c r="B3" s="20" t="s">
        <v>68</v>
      </c>
      <c r="C3" s="20" t="s">
        <v>69</v>
      </c>
      <c r="D3" s="20" t="s">
        <v>70</v>
      </c>
      <c r="E3" s="20" t="s">
        <v>71</v>
      </c>
      <c r="F3" s="20" t="s">
        <v>72</v>
      </c>
    </row>
    <row r="4" customFormat="false" ht="15" hidden="false" customHeight="false" outlineLevel="0" collapsed="false">
      <c r="A4" s="21" t="n">
        <v>1</v>
      </c>
      <c r="B4" s="22"/>
      <c r="C4" s="23"/>
      <c r="D4" s="23"/>
      <c r="E4" s="14" t="str">
        <f aca="false">IF(AND(C4="",D4=""),"",SUM(C4:D4))</f>
        <v/>
      </c>
      <c r="F4" s="11" t="str">
        <f aca="false">IF(OR(B4="",B4=0),"",E4/B4)</f>
        <v/>
      </c>
    </row>
    <row r="5" customFormat="false" ht="15" hidden="false" customHeight="false" outlineLevel="0" collapsed="false">
      <c r="A5" s="21" t="n">
        <v>2</v>
      </c>
      <c r="B5" s="22" t="n">
        <v>40</v>
      </c>
      <c r="C5" s="23" t="n">
        <v>760</v>
      </c>
      <c r="D5" s="23" t="n">
        <v>320</v>
      </c>
      <c r="E5" s="14" t="n">
        <f aca="false">IF(AND(C5="",D5=""),"",SUM(C5:D5))</f>
        <v>1080</v>
      </c>
      <c r="F5" s="11" t="n">
        <f aca="false">IF(OR(B5="",B5=0),"",E5/B5)</f>
        <v>27</v>
      </c>
    </row>
    <row r="6" customFormat="false" ht="15" hidden="false" customHeight="false" outlineLevel="0" collapsed="false">
      <c r="A6" s="21" t="n">
        <v>3</v>
      </c>
      <c r="B6" s="22" t="n">
        <v>42</v>
      </c>
      <c r="C6" s="23" t="n">
        <v>800</v>
      </c>
      <c r="D6" s="23" t="n">
        <v>335</v>
      </c>
      <c r="E6" s="14" t="n">
        <f aca="false">IF(AND(C6="",D6=""),"",SUM(C6:D6))</f>
        <v>1135</v>
      </c>
      <c r="F6" s="11" t="n">
        <f aca="false">IF(OR(B6="",B6=0),"",E6/B6)</f>
        <v>27.0238095238095</v>
      </c>
    </row>
    <row r="7" customFormat="false" ht="15" hidden="false" customHeight="false" outlineLevel="0" collapsed="false">
      <c r="A7" s="21" t="n">
        <v>4</v>
      </c>
      <c r="B7" s="22" t="n">
        <v>50</v>
      </c>
      <c r="C7" s="23" t="n">
        <v>950</v>
      </c>
      <c r="D7" s="23" t="n">
        <v>400</v>
      </c>
      <c r="E7" s="14" t="n">
        <f aca="false">IF(AND(C7="",D7=""),"",SUM(C7:D7))</f>
        <v>1350</v>
      </c>
      <c r="F7" s="11" t="n">
        <f aca="false">IF(OR(B7="",B7=0),"",E7/B7)</f>
        <v>27</v>
      </c>
    </row>
    <row r="8" customFormat="false" ht="15" hidden="false" customHeight="false" outlineLevel="0" collapsed="false">
      <c r="A8" s="21" t="n">
        <v>5</v>
      </c>
      <c r="B8" s="22" t="n">
        <v>82</v>
      </c>
      <c r="C8" s="23" t="n">
        <v>1560</v>
      </c>
      <c r="D8" s="23" t="n">
        <v>655</v>
      </c>
      <c r="E8" s="14" t="n">
        <f aca="false">IF(AND(C8="",D8=""),"",SUM(C8:D8))</f>
        <v>2215</v>
      </c>
      <c r="F8" s="11" t="n">
        <f aca="false">IF(OR(B8="",B8=0),"",E8/B8)</f>
        <v>27.0121951219512</v>
      </c>
    </row>
    <row r="9" customFormat="false" ht="15" hidden="false" customHeight="false" outlineLevel="0" collapsed="false">
      <c r="A9" s="21" t="n">
        <v>6</v>
      </c>
      <c r="B9" s="22" t="n">
        <v>105</v>
      </c>
      <c r="C9" s="23" t="n">
        <v>1995</v>
      </c>
      <c r="D9" s="23" t="n">
        <v>840</v>
      </c>
      <c r="E9" s="14" t="n">
        <f aca="false">IF(AND(C9="",D9=""),"",SUM(C9:D9))</f>
        <v>2835</v>
      </c>
      <c r="F9" s="11" t="n">
        <f aca="false">IF(OR(B9="",B9=0),"",E9/B9)</f>
        <v>27</v>
      </c>
    </row>
    <row r="10" customFormat="false" ht="15" hidden="false" customHeight="false" outlineLevel="0" collapsed="false">
      <c r="A10" s="21" t="n">
        <v>7</v>
      </c>
      <c r="B10" s="22" t="n">
        <v>72</v>
      </c>
      <c r="C10" s="23" t="n">
        <v>1370</v>
      </c>
      <c r="D10" s="23" t="n">
        <v>575</v>
      </c>
      <c r="E10" s="14" t="n">
        <f aca="false">IF(AND(C10="",D10=""),"",SUM(C10:D10))</f>
        <v>1945</v>
      </c>
      <c r="F10" s="11" t="n">
        <f aca="false">IF(OR(B10="",B10=0),"",E10/B10)</f>
        <v>27.0138888888889</v>
      </c>
    </row>
    <row r="11" customFormat="false" ht="15" hidden="false" customHeight="false" outlineLevel="0" collapsed="false">
      <c r="A11" s="21" t="n">
        <v>8</v>
      </c>
      <c r="B11" s="22"/>
      <c r="C11" s="23"/>
      <c r="D11" s="23"/>
      <c r="E11" s="14" t="str">
        <f aca="false">IF(AND(C11="",D11=""),"",SUM(C11:D11))</f>
        <v/>
      </c>
      <c r="F11" s="11" t="str">
        <f aca="false">IF(OR(B11="",B11=0),"",E11/B11)</f>
        <v/>
      </c>
    </row>
    <row r="12" customFormat="false" ht="15" hidden="false" customHeight="false" outlineLevel="0" collapsed="false">
      <c r="A12" s="21" t="n">
        <v>9</v>
      </c>
      <c r="B12" s="22" t="n">
        <v>40</v>
      </c>
      <c r="C12" s="23" t="n">
        <v>760</v>
      </c>
      <c r="D12" s="23" t="n">
        <v>320</v>
      </c>
      <c r="E12" s="14" t="n">
        <f aca="false">IF(AND(C12="",D12=""),"",SUM(C12:D12))</f>
        <v>1080</v>
      </c>
      <c r="F12" s="11" t="n">
        <f aca="false">IF(OR(B12="",B12=0),"",E12/B12)</f>
        <v>27</v>
      </c>
    </row>
    <row r="13" customFormat="false" ht="15" hidden="false" customHeight="false" outlineLevel="0" collapsed="false">
      <c r="A13" s="21" t="n">
        <v>10</v>
      </c>
      <c r="B13" s="22" t="n">
        <v>42</v>
      </c>
      <c r="C13" s="23" t="n">
        <v>800</v>
      </c>
      <c r="D13" s="23" t="n">
        <v>335</v>
      </c>
      <c r="E13" s="14" t="n">
        <f aca="false">IF(AND(C13="",D13=""),"",SUM(C13:D13))</f>
        <v>1135</v>
      </c>
      <c r="F13" s="11" t="n">
        <f aca="false">IF(OR(B13="",B13=0),"",E13/B13)</f>
        <v>27.0238095238095</v>
      </c>
    </row>
    <row r="14" customFormat="false" ht="15" hidden="false" customHeight="false" outlineLevel="0" collapsed="false">
      <c r="A14" s="21" t="n">
        <v>11</v>
      </c>
      <c r="B14" s="22" t="n">
        <v>50</v>
      </c>
      <c r="C14" s="23" t="n">
        <v>950</v>
      </c>
      <c r="D14" s="23" t="n">
        <v>400</v>
      </c>
      <c r="E14" s="14" t="n">
        <f aca="false">IF(AND(C14="",D14=""),"",SUM(C14:D14))</f>
        <v>1350</v>
      </c>
      <c r="F14" s="11" t="n">
        <f aca="false">IF(OR(B14="",B14=0),"",E14/B14)</f>
        <v>27</v>
      </c>
    </row>
    <row r="15" customFormat="false" ht="15" hidden="false" customHeight="false" outlineLevel="0" collapsed="false">
      <c r="A15" s="21" t="n">
        <v>12</v>
      </c>
      <c r="B15" s="22" t="n">
        <v>82</v>
      </c>
      <c r="C15" s="23" t="n">
        <v>1560</v>
      </c>
      <c r="D15" s="23" t="n">
        <v>655</v>
      </c>
      <c r="E15" s="14" t="n">
        <f aca="false">IF(AND(C15="",D15=""),"",SUM(C15:D15))</f>
        <v>2215</v>
      </c>
      <c r="F15" s="11" t="n">
        <f aca="false">IF(OR(B15="",B15=0),"",E15/B15)</f>
        <v>27.0121951219512</v>
      </c>
    </row>
    <row r="16" customFormat="false" ht="15" hidden="false" customHeight="false" outlineLevel="0" collapsed="false">
      <c r="A16" s="21" t="n">
        <v>13</v>
      </c>
      <c r="B16" s="22" t="n">
        <v>105</v>
      </c>
      <c r="C16" s="23" t="n">
        <v>1995</v>
      </c>
      <c r="D16" s="23" t="n">
        <v>840</v>
      </c>
      <c r="E16" s="14" t="n">
        <f aca="false">IF(AND(C16="",D16=""),"",SUM(C16:D16))</f>
        <v>2835</v>
      </c>
      <c r="F16" s="11" t="n">
        <f aca="false">IF(OR(B16="",B16=0),"",E16/B16)</f>
        <v>27</v>
      </c>
    </row>
    <row r="17" customFormat="false" ht="15" hidden="false" customHeight="false" outlineLevel="0" collapsed="false">
      <c r="A17" s="21" t="n">
        <v>14</v>
      </c>
      <c r="B17" s="22" t="n">
        <v>72</v>
      </c>
      <c r="C17" s="23" t="n">
        <v>1370</v>
      </c>
      <c r="D17" s="23" t="n">
        <v>575</v>
      </c>
      <c r="E17" s="14" t="n">
        <f aca="false">IF(AND(C17="",D17=""),"",SUM(C17:D17))</f>
        <v>1945</v>
      </c>
      <c r="F17" s="11" t="n">
        <f aca="false">IF(OR(B17="",B17=0),"",E17/B17)</f>
        <v>27.0138888888889</v>
      </c>
    </row>
    <row r="18" customFormat="false" ht="15" hidden="false" customHeight="false" outlineLevel="0" collapsed="false">
      <c r="A18" s="21" t="n">
        <v>15</v>
      </c>
      <c r="B18" s="22"/>
      <c r="C18" s="23"/>
      <c r="D18" s="23"/>
      <c r="E18" s="14" t="str">
        <f aca="false">IF(AND(C18="",D18=""),"",SUM(C18:D18))</f>
        <v/>
      </c>
      <c r="F18" s="11" t="str">
        <f aca="false">IF(OR(B18="",B18=0),"",E18/B18)</f>
        <v/>
      </c>
    </row>
    <row r="19" customFormat="false" ht="15" hidden="false" customHeight="false" outlineLevel="0" collapsed="false">
      <c r="A19" s="21" t="n">
        <v>16</v>
      </c>
      <c r="B19" s="22" t="n">
        <v>40</v>
      </c>
      <c r="C19" s="23" t="n">
        <v>760</v>
      </c>
      <c r="D19" s="23" t="n">
        <v>320</v>
      </c>
      <c r="E19" s="14" t="n">
        <f aca="false">IF(AND(C19="",D19=""),"",SUM(C19:D19))</f>
        <v>1080</v>
      </c>
      <c r="F19" s="11" t="n">
        <f aca="false">IF(OR(B19="",B19=0),"",E19/B19)</f>
        <v>27</v>
      </c>
    </row>
    <row r="20" customFormat="false" ht="15" hidden="false" customHeight="false" outlineLevel="0" collapsed="false">
      <c r="A20" s="21" t="n">
        <v>17</v>
      </c>
      <c r="B20" s="22" t="n">
        <v>42</v>
      </c>
      <c r="C20" s="23" t="n">
        <v>800</v>
      </c>
      <c r="D20" s="23" t="n">
        <v>335</v>
      </c>
      <c r="E20" s="14" t="n">
        <f aca="false">IF(AND(C20="",D20=""),"",SUM(C20:D20))</f>
        <v>1135</v>
      </c>
      <c r="F20" s="11" t="n">
        <f aca="false">IF(OR(B20="",B20=0),"",E20/B20)</f>
        <v>27.0238095238095</v>
      </c>
    </row>
    <row r="21" customFormat="false" ht="15" hidden="false" customHeight="false" outlineLevel="0" collapsed="false">
      <c r="A21" s="21" t="n">
        <v>18</v>
      </c>
      <c r="B21" s="22" t="n">
        <v>50</v>
      </c>
      <c r="C21" s="23" t="n">
        <v>950</v>
      </c>
      <c r="D21" s="23" t="n">
        <v>400</v>
      </c>
      <c r="E21" s="14" t="n">
        <f aca="false">IF(AND(C21="",D21=""),"",SUM(C21:D21))</f>
        <v>1350</v>
      </c>
      <c r="F21" s="11" t="n">
        <f aca="false">IF(OR(B21="",B21=0),"",E21/B21)</f>
        <v>27</v>
      </c>
    </row>
    <row r="22" customFormat="false" ht="15" hidden="false" customHeight="false" outlineLevel="0" collapsed="false">
      <c r="A22" s="21" t="n">
        <v>19</v>
      </c>
      <c r="B22" s="22" t="n">
        <v>82</v>
      </c>
      <c r="C22" s="23" t="n">
        <v>1560</v>
      </c>
      <c r="D22" s="23" t="n">
        <v>655</v>
      </c>
      <c r="E22" s="14" t="n">
        <f aca="false">IF(AND(C22="",D22=""),"",SUM(C22:D22))</f>
        <v>2215</v>
      </c>
      <c r="F22" s="11" t="n">
        <f aca="false">IF(OR(B22="",B22=0),"",E22/B22)</f>
        <v>27.0121951219512</v>
      </c>
    </row>
    <row r="23" customFormat="false" ht="15" hidden="false" customHeight="false" outlineLevel="0" collapsed="false">
      <c r="A23" s="21" t="n">
        <v>20</v>
      </c>
      <c r="B23" s="22" t="n">
        <v>105</v>
      </c>
      <c r="C23" s="23" t="n">
        <v>1995</v>
      </c>
      <c r="D23" s="23" t="n">
        <v>840</v>
      </c>
      <c r="E23" s="14" t="n">
        <f aca="false">IF(AND(C23="",D23=""),"",SUM(C23:D23))</f>
        <v>2835</v>
      </c>
      <c r="F23" s="11" t="n">
        <f aca="false">IF(OR(B23="",B23=0),"",E23/B23)</f>
        <v>27</v>
      </c>
    </row>
    <row r="24" customFormat="false" ht="15" hidden="false" customHeight="false" outlineLevel="0" collapsed="false">
      <c r="A24" s="21" t="n">
        <v>21</v>
      </c>
      <c r="B24" s="22" t="n">
        <v>72</v>
      </c>
      <c r="C24" s="23" t="n">
        <v>1370</v>
      </c>
      <c r="D24" s="23" t="n">
        <v>575</v>
      </c>
      <c r="E24" s="14" t="n">
        <f aca="false">IF(AND(C24="",D24=""),"",SUM(C24:D24))</f>
        <v>1945</v>
      </c>
      <c r="F24" s="11" t="n">
        <f aca="false">IF(OR(B24="",B24=0),"",E24/B24)</f>
        <v>27.0138888888889</v>
      </c>
    </row>
    <row r="25" customFormat="false" ht="15" hidden="false" customHeight="false" outlineLevel="0" collapsed="false">
      <c r="A25" s="21" t="n">
        <v>22</v>
      </c>
      <c r="B25" s="22"/>
      <c r="C25" s="23"/>
      <c r="D25" s="23"/>
      <c r="E25" s="14" t="str">
        <f aca="false">IF(AND(C25="",D25=""),"",SUM(C25:D25))</f>
        <v/>
      </c>
      <c r="F25" s="11" t="str">
        <f aca="false">IF(OR(B25="",B25=0),"",E25/B25)</f>
        <v/>
      </c>
    </row>
    <row r="26" customFormat="false" ht="15" hidden="false" customHeight="false" outlineLevel="0" collapsed="false">
      <c r="A26" s="21" t="n">
        <v>23</v>
      </c>
      <c r="B26" s="22" t="n">
        <v>40</v>
      </c>
      <c r="C26" s="23" t="n">
        <v>760</v>
      </c>
      <c r="D26" s="23" t="n">
        <v>320</v>
      </c>
      <c r="E26" s="14" t="n">
        <f aca="false">IF(AND(C26="",D26=""),"",SUM(C26:D26))</f>
        <v>1080</v>
      </c>
      <c r="F26" s="11" t="n">
        <f aca="false">IF(OR(B26="",B26=0),"",E26/B26)</f>
        <v>27</v>
      </c>
    </row>
    <row r="27" customFormat="false" ht="15" hidden="false" customHeight="false" outlineLevel="0" collapsed="false">
      <c r="A27" s="21" t="n">
        <v>24</v>
      </c>
      <c r="B27" s="22" t="n">
        <v>42</v>
      </c>
      <c r="C27" s="23" t="n">
        <v>800</v>
      </c>
      <c r="D27" s="23" t="n">
        <v>335</v>
      </c>
      <c r="E27" s="14" t="n">
        <f aca="false">IF(AND(C27="",D27=""),"",SUM(C27:D27))</f>
        <v>1135</v>
      </c>
      <c r="F27" s="11" t="n">
        <f aca="false">IF(OR(B27="",B27=0),"",E27/B27)</f>
        <v>27.0238095238095</v>
      </c>
    </row>
    <row r="28" customFormat="false" ht="15" hidden="false" customHeight="false" outlineLevel="0" collapsed="false">
      <c r="A28" s="21" t="n">
        <v>25</v>
      </c>
      <c r="B28" s="22" t="n">
        <v>50</v>
      </c>
      <c r="C28" s="23" t="n">
        <v>950</v>
      </c>
      <c r="D28" s="23" t="n">
        <v>400</v>
      </c>
      <c r="E28" s="14" t="n">
        <f aca="false">IF(AND(C28="",D28=""),"",SUM(C28:D28))</f>
        <v>1350</v>
      </c>
      <c r="F28" s="11" t="n">
        <f aca="false">IF(OR(B28="",B28=0),"",E28/B28)</f>
        <v>27</v>
      </c>
    </row>
    <row r="29" customFormat="false" ht="15" hidden="false" customHeight="false" outlineLevel="0" collapsed="false">
      <c r="A29" s="21" t="n">
        <v>26</v>
      </c>
      <c r="B29" s="22" t="n">
        <v>82</v>
      </c>
      <c r="C29" s="23" t="n">
        <v>1560</v>
      </c>
      <c r="D29" s="23" t="n">
        <v>655</v>
      </c>
      <c r="E29" s="14" t="n">
        <f aca="false">IF(AND(C29="",D29=""),"",SUM(C29:D29))</f>
        <v>2215</v>
      </c>
      <c r="F29" s="11" t="n">
        <f aca="false">IF(OR(B29="",B29=0),"",E29/B29)</f>
        <v>27.0121951219512</v>
      </c>
    </row>
    <row r="30" customFormat="false" ht="15" hidden="false" customHeight="false" outlineLevel="0" collapsed="false">
      <c r="A30" s="21" t="n">
        <v>27</v>
      </c>
      <c r="B30" s="22" t="n">
        <v>105</v>
      </c>
      <c r="C30" s="23" t="n">
        <v>1995</v>
      </c>
      <c r="D30" s="23" t="n">
        <v>840</v>
      </c>
      <c r="E30" s="14" t="n">
        <f aca="false">IF(AND(C30="",D30=""),"",SUM(C30:D30))</f>
        <v>2835</v>
      </c>
      <c r="F30" s="11" t="n">
        <f aca="false">IF(OR(B30="",B30=0),"",E30/B30)</f>
        <v>27</v>
      </c>
    </row>
    <row r="31" customFormat="false" ht="15" hidden="false" customHeight="false" outlineLevel="0" collapsed="false">
      <c r="A31" s="21" t="n">
        <v>28</v>
      </c>
      <c r="B31" s="22" t="n">
        <v>72</v>
      </c>
      <c r="C31" s="23" t="n">
        <v>1370</v>
      </c>
      <c r="D31" s="23" t="n">
        <v>575</v>
      </c>
      <c r="E31" s="14" t="n">
        <f aca="false">IF(AND(C31="",D31=""),"",SUM(C31:D31))</f>
        <v>1945</v>
      </c>
      <c r="F31" s="11" t="n">
        <f aca="false">IF(OR(B31="",B31=0),"",E31/B31)</f>
        <v>27.0138888888889</v>
      </c>
    </row>
    <row r="32" customFormat="false" ht="15" hidden="false" customHeight="false" outlineLevel="0" collapsed="false">
      <c r="A32" s="21" t="n">
        <v>29</v>
      </c>
      <c r="B32" s="22"/>
      <c r="C32" s="23"/>
      <c r="D32" s="23"/>
      <c r="E32" s="14" t="str">
        <f aca="false">IF(AND(C32="",D32=""),"",SUM(C32:D32))</f>
        <v/>
      </c>
      <c r="F32" s="11" t="str">
        <f aca="false">IF(OR(B32="",B32=0),"",E32/B32)</f>
        <v/>
      </c>
    </row>
    <row r="33" customFormat="false" ht="15" hidden="false" customHeight="false" outlineLevel="0" collapsed="false">
      <c r="A33" s="21" t="n">
        <v>30</v>
      </c>
      <c r="B33" s="22" t="n">
        <v>40</v>
      </c>
      <c r="C33" s="23" t="n">
        <v>760</v>
      </c>
      <c r="D33" s="23" t="n">
        <v>320</v>
      </c>
      <c r="E33" s="14" t="n">
        <f aca="false">IF(AND(C33="",D33=""),"",SUM(C33:D33))</f>
        <v>1080</v>
      </c>
      <c r="F33" s="11" t="n">
        <f aca="false">IF(OR(B33="",B33=0),"",E33/B33)</f>
        <v>27</v>
      </c>
    </row>
    <row r="34" customFormat="false" ht="15" hidden="false" customHeight="false" outlineLevel="0" collapsed="false">
      <c r="A34" s="24" t="s">
        <v>73</v>
      </c>
      <c r="B34" s="25" t="n">
        <f aca="false">SUM(B4:B33)</f>
        <v>1604</v>
      </c>
      <c r="C34" s="26" t="n">
        <f aca="false">SUM(C4:C33)</f>
        <v>30500</v>
      </c>
      <c r="D34" s="26" t="n">
        <f aca="false">SUM(D4:D33)</f>
        <v>12820</v>
      </c>
      <c r="E34" s="26" t="n">
        <f aca="false">SUM(E4:E33)</f>
        <v>43320</v>
      </c>
      <c r="F34" s="27" t="n">
        <f aca="false">IF(B34=0,"",E34/B34)</f>
        <v>27.0074812967581</v>
      </c>
    </row>
    <row r="36" customFormat="false" ht="15" hidden="false" customHeight="false" outlineLevel="0" collapsed="false">
      <c r="A36" s="5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" t="s">
        <v>75</v>
      </c>
    </row>
    <row r="3" customFormat="false" ht="15" hidden="false" customHeight="false" outlineLevel="0" collapsed="false">
      <c r="A3" s="20" t="s">
        <v>76</v>
      </c>
      <c r="B3" s="20" t="s">
        <v>77</v>
      </c>
      <c r="C3" s="20" t="s">
        <v>78</v>
      </c>
      <c r="D3" s="20" t="s">
        <v>79</v>
      </c>
      <c r="E3" s="20" t="s">
        <v>80</v>
      </c>
      <c r="F3" s="20" t="s">
        <v>81</v>
      </c>
      <c r="G3" s="20" t="s">
        <v>82</v>
      </c>
    </row>
    <row r="4" customFormat="false" ht="15" hidden="false" customHeight="false" outlineLevel="0" collapsed="false">
      <c r="A4" s="28" t="s">
        <v>83</v>
      </c>
      <c r="B4" s="28" t="s">
        <v>84</v>
      </c>
      <c r="C4" s="29" t="n">
        <v>0.05</v>
      </c>
      <c r="D4" s="30" t="s">
        <v>85</v>
      </c>
      <c r="E4" s="18" t="n">
        <v>18</v>
      </c>
      <c r="F4" s="31" t="n">
        <v>0.05</v>
      </c>
      <c r="G4" s="11" t="n">
        <f aca="false">IF(B4="","",C4*E4/(1-F4))</f>
        <v>0.947368421052632</v>
      </c>
    </row>
    <row r="5" customFormat="false" ht="15" hidden="false" customHeight="false" outlineLevel="0" collapsed="false">
      <c r="A5" s="28" t="s">
        <v>83</v>
      </c>
      <c r="B5" s="28" t="s">
        <v>86</v>
      </c>
      <c r="C5" s="29" t="n">
        <v>0.25</v>
      </c>
      <c r="D5" s="30" t="s">
        <v>85</v>
      </c>
      <c r="E5" s="18" t="n">
        <v>2.8</v>
      </c>
      <c r="F5" s="31" t="n">
        <v>0</v>
      </c>
      <c r="G5" s="11" t="n">
        <f aca="false">IF(B5="","",C5*E5/(1-F5))</f>
        <v>0.7</v>
      </c>
    </row>
    <row r="6" customFormat="false" ht="15" hidden="false" customHeight="false" outlineLevel="0" collapsed="false">
      <c r="A6" s="28" t="s">
        <v>83</v>
      </c>
      <c r="B6" s="28" t="s">
        <v>87</v>
      </c>
      <c r="C6" s="29" t="n">
        <v>0.1</v>
      </c>
      <c r="D6" s="30" t="s">
        <v>85</v>
      </c>
      <c r="E6" s="18" t="n">
        <v>3</v>
      </c>
      <c r="F6" s="31" t="n">
        <v>0</v>
      </c>
      <c r="G6" s="11" t="n">
        <f aca="false">IF(B6="","",C6*E6/(1-F6))</f>
        <v>0.3</v>
      </c>
    </row>
    <row r="7" customFormat="false" ht="15" hidden="false" customHeight="false" outlineLevel="0" collapsed="false">
      <c r="A7" s="28" t="s">
        <v>83</v>
      </c>
      <c r="B7" s="28" t="s">
        <v>88</v>
      </c>
      <c r="C7" s="29" t="n">
        <v>0.05</v>
      </c>
      <c r="D7" s="30" t="s">
        <v>89</v>
      </c>
      <c r="E7" s="18" t="n">
        <v>9</v>
      </c>
      <c r="F7" s="31" t="n">
        <v>0</v>
      </c>
      <c r="G7" s="11" t="n">
        <f aca="false">IF(B7="","",C7*E7/(1-F7))</f>
        <v>0.45</v>
      </c>
    </row>
    <row r="8" customFormat="false" ht="15" hidden="false" customHeight="false" outlineLevel="0" collapsed="false">
      <c r="A8" s="28" t="s">
        <v>90</v>
      </c>
      <c r="B8" s="28" t="s">
        <v>91</v>
      </c>
      <c r="C8" s="29" t="n">
        <v>0.3</v>
      </c>
      <c r="D8" s="30" t="s">
        <v>85</v>
      </c>
      <c r="E8" s="18" t="n">
        <v>1.6</v>
      </c>
      <c r="F8" s="31" t="n">
        <v>0.1</v>
      </c>
      <c r="G8" s="11" t="n">
        <f aca="false">IF(B8="","",C8*E8/(1-F8))</f>
        <v>0.533333333333333</v>
      </c>
    </row>
    <row r="9" customFormat="false" ht="15" hidden="false" customHeight="false" outlineLevel="0" collapsed="false">
      <c r="A9" s="28" t="s">
        <v>90</v>
      </c>
      <c r="B9" s="28" t="s">
        <v>92</v>
      </c>
      <c r="C9" s="29" t="n">
        <v>0.1</v>
      </c>
      <c r="D9" s="30" t="s">
        <v>85</v>
      </c>
      <c r="E9" s="18" t="n">
        <v>8.5</v>
      </c>
      <c r="F9" s="31" t="n">
        <v>0</v>
      </c>
      <c r="G9" s="11" t="n">
        <f aca="false">IF(B9="","",C9*E9/(1-F9))</f>
        <v>0.85</v>
      </c>
    </row>
    <row r="10" customFormat="false" ht="15" hidden="false" customHeight="false" outlineLevel="0" collapsed="false">
      <c r="A10" s="28" t="s">
        <v>90</v>
      </c>
      <c r="B10" s="28" t="s">
        <v>93</v>
      </c>
      <c r="C10" s="29" t="n">
        <v>0.08</v>
      </c>
      <c r="D10" s="30" t="s">
        <v>85</v>
      </c>
      <c r="E10" s="18" t="n">
        <v>3.5</v>
      </c>
      <c r="F10" s="31" t="n">
        <v>0</v>
      </c>
      <c r="G10" s="11" t="n">
        <f aca="false">IF(B10="","",C10*E10/(1-F10))</f>
        <v>0.28</v>
      </c>
    </row>
    <row r="11" customFormat="false" ht="15" hidden="false" customHeight="false" outlineLevel="0" collapsed="false">
      <c r="A11" s="28" t="s">
        <v>94</v>
      </c>
      <c r="B11" s="28" t="s">
        <v>95</v>
      </c>
      <c r="C11" s="29" t="n">
        <v>0.2</v>
      </c>
      <c r="D11" s="30" t="s">
        <v>85</v>
      </c>
      <c r="E11" s="18" t="n">
        <v>19.5</v>
      </c>
      <c r="F11" s="31" t="n">
        <v>0.08</v>
      </c>
      <c r="G11" s="11" t="n">
        <f aca="false">IF(B11="","",C11*E11/(1-F11))</f>
        <v>4.23913043478261</v>
      </c>
    </row>
    <row r="12" customFormat="false" ht="15" hidden="false" customHeight="false" outlineLevel="0" collapsed="false">
      <c r="A12" s="28" t="s">
        <v>94</v>
      </c>
      <c r="B12" s="28" t="s">
        <v>96</v>
      </c>
      <c r="C12" s="29" t="n">
        <v>0.15</v>
      </c>
      <c r="D12" s="30" t="s">
        <v>85</v>
      </c>
      <c r="E12" s="18" t="n">
        <v>1.8</v>
      </c>
      <c r="F12" s="31" t="n">
        <v>0.05</v>
      </c>
      <c r="G12" s="11" t="n">
        <f aca="false">IF(B12="","",C12*E12/(1-F12))</f>
        <v>0.28421052631579</v>
      </c>
    </row>
    <row r="13" customFormat="false" ht="15" hidden="false" customHeight="false" outlineLevel="0" collapsed="false">
      <c r="A13" s="28" t="s">
        <v>94</v>
      </c>
      <c r="B13" s="28" t="s">
        <v>97</v>
      </c>
      <c r="C13" s="29" t="n">
        <v>0.03</v>
      </c>
      <c r="D13" s="30" t="s">
        <v>89</v>
      </c>
      <c r="E13" s="18" t="n">
        <v>8</v>
      </c>
      <c r="F13" s="31" t="n">
        <v>0</v>
      </c>
      <c r="G13" s="11" t="n">
        <f aca="false">IF(B13="","",C13*E13/(1-F13))</f>
        <v>0.24</v>
      </c>
    </row>
    <row r="14" customFormat="false" ht="15" hidden="false" customHeight="false" outlineLevel="0" collapsed="false">
      <c r="A14" s="28" t="s">
        <v>98</v>
      </c>
      <c r="B14" s="28" t="s">
        <v>99</v>
      </c>
      <c r="C14" s="29" t="n">
        <v>0.25</v>
      </c>
      <c r="D14" s="30" t="s">
        <v>85</v>
      </c>
      <c r="E14" s="18" t="n">
        <v>16.5</v>
      </c>
      <c r="F14" s="31" t="n">
        <v>0.05</v>
      </c>
      <c r="G14" s="11" t="n">
        <f aca="false">IF(B14="","",C14*E14/(1-F14))</f>
        <v>4.3421052631579</v>
      </c>
    </row>
    <row r="15" customFormat="false" ht="15" hidden="false" customHeight="false" outlineLevel="0" collapsed="false">
      <c r="A15" s="28" t="s">
        <v>98</v>
      </c>
      <c r="B15" s="28" t="s">
        <v>100</v>
      </c>
      <c r="C15" s="29" t="n">
        <v>0.2</v>
      </c>
      <c r="D15" s="30" t="s">
        <v>85</v>
      </c>
      <c r="E15" s="18" t="n">
        <v>3.2</v>
      </c>
      <c r="F15" s="31" t="n">
        <v>0.05</v>
      </c>
      <c r="G15" s="11" t="n">
        <f aca="false">IF(B15="","",C15*E15/(1-F15))</f>
        <v>0.673684210526316</v>
      </c>
    </row>
    <row r="16" customFormat="false" ht="15" hidden="false" customHeight="false" outlineLevel="0" collapsed="false">
      <c r="A16" s="28" t="s">
        <v>101</v>
      </c>
      <c r="B16" s="28" t="s">
        <v>102</v>
      </c>
      <c r="C16" s="29" t="n">
        <v>0.3</v>
      </c>
      <c r="D16" s="30" t="s">
        <v>85</v>
      </c>
      <c r="E16" s="18" t="n">
        <v>19</v>
      </c>
      <c r="F16" s="31" t="n">
        <v>0.08</v>
      </c>
      <c r="G16" s="11" t="n">
        <f aca="false">IF(B16="","",C16*E16/(1-F16))</f>
        <v>6.19565217391304</v>
      </c>
    </row>
    <row r="17" customFormat="false" ht="15" hidden="false" customHeight="false" outlineLevel="0" collapsed="false">
      <c r="A17" s="28" t="s">
        <v>101</v>
      </c>
      <c r="B17" s="28" t="s">
        <v>103</v>
      </c>
      <c r="C17" s="29" t="n">
        <v>0.2</v>
      </c>
      <c r="D17" s="30" t="s">
        <v>85</v>
      </c>
      <c r="E17" s="18" t="n">
        <v>2.5</v>
      </c>
      <c r="F17" s="31" t="n">
        <v>0.05</v>
      </c>
      <c r="G17" s="11" t="n">
        <f aca="false">IF(B17="","",C17*E17/(1-F17))</f>
        <v>0.526315789473684</v>
      </c>
    </row>
    <row r="18" customFormat="false" ht="15" hidden="false" customHeight="false" outlineLevel="0" collapsed="false">
      <c r="A18" s="28" t="s">
        <v>104</v>
      </c>
      <c r="B18" s="28" t="s">
        <v>105</v>
      </c>
      <c r="C18" s="29" t="n">
        <v>0.18</v>
      </c>
      <c r="D18" s="30" t="s">
        <v>85</v>
      </c>
      <c r="E18" s="18" t="n">
        <v>9.5</v>
      </c>
      <c r="F18" s="31" t="n">
        <v>0.03</v>
      </c>
      <c r="G18" s="11" t="n">
        <f aca="false">IF(B18="","",C18*E18/(1-F18))</f>
        <v>1.76288659793814</v>
      </c>
    </row>
    <row r="19" customFormat="false" ht="15" hidden="false" customHeight="false" outlineLevel="0" collapsed="false">
      <c r="A19" s="28" t="s">
        <v>104</v>
      </c>
      <c r="B19" s="28" t="s">
        <v>106</v>
      </c>
      <c r="C19" s="29" t="n">
        <v>1</v>
      </c>
      <c r="D19" s="30" t="s">
        <v>107</v>
      </c>
      <c r="E19" s="18" t="n">
        <v>0.55</v>
      </c>
      <c r="F19" s="31" t="n">
        <v>0</v>
      </c>
      <c r="G19" s="11" t="n">
        <f aca="false">IF(B19="","",C19*E19/(1-F19))</f>
        <v>0.55</v>
      </c>
    </row>
    <row r="20" customFormat="false" ht="15" hidden="false" customHeight="false" outlineLevel="0" collapsed="false">
      <c r="A20" s="28" t="s">
        <v>104</v>
      </c>
      <c r="B20" s="28" t="s">
        <v>108</v>
      </c>
      <c r="C20" s="29" t="n">
        <v>0.1</v>
      </c>
      <c r="D20" s="30" t="s">
        <v>85</v>
      </c>
      <c r="E20" s="18" t="n">
        <v>7</v>
      </c>
      <c r="F20" s="31" t="n">
        <v>0</v>
      </c>
      <c r="G20" s="11" t="n">
        <f aca="false">IF(B20="","",C20*E20/(1-F20))</f>
        <v>0.7</v>
      </c>
    </row>
    <row r="21" customFormat="false" ht="15" hidden="false" customHeight="false" outlineLevel="0" collapsed="false">
      <c r="A21" s="28" t="s">
        <v>104</v>
      </c>
      <c r="B21" s="28" t="s">
        <v>109</v>
      </c>
      <c r="C21" s="29" t="n">
        <v>0.2</v>
      </c>
      <c r="D21" s="30" t="s">
        <v>85</v>
      </c>
      <c r="E21" s="18" t="n">
        <v>1.9</v>
      </c>
      <c r="F21" s="31" t="n">
        <v>0</v>
      </c>
      <c r="G21" s="11" t="n">
        <f aca="false">IF(B21="","",C21*E21/(1-F21))</f>
        <v>0.38</v>
      </c>
    </row>
    <row r="22" customFormat="false" ht="15" hidden="false" customHeight="false" outlineLevel="0" collapsed="false">
      <c r="A22" s="28" t="s">
        <v>110</v>
      </c>
      <c r="B22" s="28" t="s">
        <v>111</v>
      </c>
      <c r="C22" s="29" t="n">
        <v>0.35</v>
      </c>
      <c r="D22" s="30" t="s">
        <v>85</v>
      </c>
      <c r="E22" s="18" t="n">
        <v>13.5</v>
      </c>
      <c r="F22" s="31" t="n">
        <v>0.15</v>
      </c>
      <c r="G22" s="11" t="n">
        <f aca="false">IF(B22="","",C22*E22/(1-F22))</f>
        <v>5.55882352941176</v>
      </c>
    </row>
    <row r="23" customFormat="false" ht="15" hidden="false" customHeight="false" outlineLevel="0" collapsed="false">
      <c r="A23" s="28" t="s">
        <v>110</v>
      </c>
      <c r="B23" s="28" t="s">
        <v>103</v>
      </c>
      <c r="C23" s="29" t="n">
        <v>0.2</v>
      </c>
      <c r="D23" s="30" t="s">
        <v>85</v>
      </c>
      <c r="E23" s="18" t="n">
        <v>2.2</v>
      </c>
      <c r="F23" s="31" t="n">
        <v>0.05</v>
      </c>
      <c r="G23" s="11" t="n">
        <f aca="false">IF(B23="","",C23*E23/(1-F23))</f>
        <v>0.463157894736842</v>
      </c>
    </row>
    <row r="24" customFormat="false" ht="15" hidden="false" customHeight="false" outlineLevel="0" collapsed="false">
      <c r="A24" s="28" t="s">
        <v>112</v>
      </c>
      <c r="B24" s="28" t="s">
        <v>113</v>
      </c>
      <c r="C24" s="29" t="n">
        <v>0.25</v>
      </c>
      <c r="D24" s="30" t="s">
        <v>85</v>
      </c>
      <c r="E24" s="18" t="n">
        <v>15</v>
      </c>
      <c r="F24" s="31" t="n">
        <v>0.1</v>
      </c>
      <c r="G24" s="11" t="n">
        <f aca="false">IF(B24="","",C24*E24/(1-F24))</f>
        <v>4.16666666666667</v>
      </c>
    </row>
    <row r="25" customFormat="false" ht="15" hidden="false" customHeight="false" outlineLevel="0" collapsed="false">
      <c r="A25" s="28" t="s">
        <v>112</v>
      </c>
      <c r="B25" s="28" t="s">
        <v>114</v>
      </c>
      <c r="C25" s="29" t="n">
        <v>0.15</v>
      </c>
      <c r="D25" s="30" t="s">
        <v>85</v>
      </c>
      <c r="E25" s="18" t="n">
        <v>4</v>
      </c>
      <c r="F25" s="31" t="n">
        <v>0</v>
      </c>
      <c r="G25" s="11" t="n">
        <f aca="false">IF(B25="","",C25*E25/(1-F25))</f>
        <v>0.6</v>
      </c>
    </row>
    <row r="26" customFormat="false" ht="15" hidden="false" customHeight="false" outlineLevel="0" collapsed="false">
      <c r="A26" s="28" t="s">
        <v>115</v>
      </c>
      <c r="B26" s="28" t="s">
        <v>116</v>
      </c>
      <c r="C26" s="29" t="n">
        <v>0.12</v>
      </c>
      <c r="D26" s="30" t="s">
        <v>85</v>
      </c>
      <c r="E26" s="18" t="n">
        <v>1.8</v>
      </c>
      <c r="F26" s="31" t="n">
        <v>0</v>
      </c>
      <c r="G26" s="11" t="n">
        <f aca="false">IF(B26="","",C26*E26/(1-F26))</f>
        <v>0.216</v>
      </c>
    </row>
    <row r="27" customFormat="false" ht="15" hidden="false" customHeight="false" outlineLevel="0" collapsed="false">
      <c r="A27" s="28" t="s">
        <v>115</v>
      </c>
      <c r="B27" s="28" t="s">
        <v>117</v>
      </c>
      <c r="C27" s="29" t="n">
        <v>0.2</v>
      </c>
      <c r="D27" s="30" t="s">
        <v>85</v>
      </c>
      <c r="E27" s="18" t="n">
        <v>9</v>
      </c>
      <c r="F27" s="31" t="n">
        <v>0.1</v>
      </c>
      <c r="G27" s="11" t="n">
        <f aca="false">IF(B27="","",C27*E27/(1-F27))</f>
        <v>2</v>
      </c>
    </row>
    <row r="28" customFormat="false" ht="15" hidden="false" customHeight="false" outlineLevel="0" collapsed="false">
      <c r="A28" s="28" t="s">
        <v>115</v>
      </c>
      <c r="B28" s="28" t="s">
        <v>118</v>
      </c>
      <c r="C28" s="29" t="n">
        <v>0.25</v>
      </c>
      <c r="D28" s="30" t="s">
        <v>89</v>
      </c>
      <c r="E28" s="18" t="n">
        <v>2.6</v>
      </c>
      <c r="F28" s="31" t="n">
        <v>0</v>
      </c>
      <c r="G28" s="11" t="n">
        <f aca="false">IF(B28="","",C28*E28/(1-F28))</f>
        <v>0.65</v>
      </c>
    </row>
    <row r="29" customFormat="false" ht="15" hidden="false" customHeight="false" outlineLevel="0" collapsed="false">
      <c r="A29" s="28" t="s">
        <v>119</v>
      </c>
      <c r="B29" s="28" t="s">
        <v>120</v>
      </c>
      <c r="C29" s="29" t="n">
        <v>0.12</v>
      </c>
      <c r="D29" s="30" t="s">
        <v>85</v>
      </c>
      <c r="E29" s="18" t="n">
        <v>3.2</v>
      </c>
      <c r="F29" s="31" t="n">
        <v>0</v>
      </c>
      <c r="G29" s="11" t="n">
        <f aca="false">IF(B29="","",C29*E29/(1-F29))</f>
        <v>0.384</v>
      </c>
    </row>
    <row r="30" customFormat="false" ht="15" hidden="false" customHeight="false" outlineLevel="0" collapsed="false">
      <c r="A30" s="28" t="s">
        <v>119</v>
      </c>
      <c r="B30" s="28" t="s">
        <v>121</v>
      </c>
      <c r="C30" s="29" t="n">
        <v>0.12</v>
      </c>
      <c r="D30" s="30" t="s">
        <v>85</v>
      </c>
      <c r="E30" s="18" t="n">
        <v>9.5</v>
      </c>
      <c r="F30" s="31" t="n">
        <v>0.08</v>
      </c>
      <c r="G30" s="11" t="n">
        <f aca="false">IF(B30="","",C30*E30/(1-F30))</f>
        <v>1.23913043478261</v>
      </c>
    </row>
    <row r="31" customFormat="false" ht="15" hidden="false" customHeight="false" outlineLevel="0" collapsed="false">
      <c r="A31" s="28" t="s">
        <v>119</v>
      </c>
      <c r="B31" s="28" t="s">
        <v>122</v>
      </c>
      <c r="C31" s="29" t="n">
        <v>0.15</v>
      </c>
      <c r="D31" s="30" t="s">
        <v>85</v>
      </c>
      <c r="E31" s="18" t="n">
        <v>6</v>
      </c>
      <c r="F31" s="31" t="n">
        <v>0</v>
      </c>
      <c r="G31" s="11" t="n">
        <f aca="false">IF(B31="","",C31*E31/(1-F31))</f>
        <v>0.9</v>
      </c>
    </row>
    <row r="32" customFormat="false" ht="15" hidden="false" customHeight="false" outlineLevel="0" collapsed="false">
      <c r="A32" s="28" t="s">
        <v>123</v>
      </c>
      <c r="B32" s="28" t="s">
        <v>124</v>
      </c>
      <c r="C32" s="29" t="n">
        <v>0.15</v>
      </c>
      <c r="D32" s="30" t="s">
        <v>85</v>
      </c>
      <c r="E32" s="18" t="n">
        <v>5.5</v>
      </c>
      <c r="F32" s="31" t="n">
        <v>0</v>
      </c>
      <c r="G32" s="11" t="n">
        <f aca="false">IF(B32="","",C32*E32/(1-F32))</f>
        <v>0.825</v>
      </c>
    </row>
    <row r="33" customFormat="false" ht="15" hidden="false" customHeight="false" outlineLevel="0" collapsed="false">
      <c r="A33" s="28" t="s">
        <v>123</v>
      </c>
      <c r="B33" s="28" t="s">
        <v>125</v>
      </c>
      <c r="C33" s="29" t="n">
        <v>0.08</v>
      </c>
      <c r="D33" s="30" t="s">
        <v>85</v>
      </c>
      <c r="E33" s="18" t="n">
        <v>3</v>
      </c>
      <c r="F33" s="31" t="n">
        <v>0</v>
      </c>
      <c r="G33" s="11" t="n">
        <f aca="false">IF(B33="","",C33*E33/(1-F33))</f>
        <v>0.24</v>
      </c>
    </row>
    <row r="34" customFormat="false" ht="15" hidden="false" customHeight="false" outlineLevel="0" collapsed="false">
      <c r="A34" s="28" t="s">
        <v>126</v>
      </c>
      <c r="B34" s="28" t="s">
        <v>127</v>
      </c>
      <c r="C34" s="29" t="n">
        <v>0.08</v>
      </c>
      <c r="D34" s="30" t="s">
        <v>85</v>
      </c>
      <c r="E34" s="18" t="n">
        <v>9</v>
      </c>
      <c r="F34" s="31" t="n">
        <v>0</v>
      </c>
      <c r="G34" s="11" t="n">
        <f aca="false">IF(B34="","",C34*E34/(1-F34))</f>
        <v>0.72</v>
      </c>
    </row>
    <row r="35" customFormat="false" ht="15" hidden="false" customHeight="false" outlineLevel="0" collapsed="false">
      <c r="A35" s="28" t="s">
        <v>126</v>
      </c>
      <c r="B35" s="28" t="s">
        <v>128</v>
      </c>
      <c r="C35" s="29" t="n">
        <v>0.1</v>
      </c>
      <c r="D35" s="30" t="s">
        <v>85</v>
      </c>
      <c r="E35" s="18" t="n">
        <v>4.2</v>
      </c>
      <c r="F35" s="31" t="n">
        <v>0</v>
      </c>
      <c r="G35" s="11" t="n">
        <f aca="false">IF(B35="","",C35*E35/(1-F35))</f>
        <v>0.42</v>
      </c>
    </row>
    <row r="36" customFormat="false" ht="15" hidden="false" customHeight="false" outlineLevel="0" collapsed="false">
      <c r="A36" s="28" t="s">
        <v>126</v>
      </c>
      <c r="B36" s="28" t="s">
        <v>129</v>
      </c>
      <c r="C36" s="29" t="n">
        <v>0.06</v>
      </c>
      <c r="D36" s="30" t="s">
        <v>89</v>
      </c>
      <c r="E36" s="18" t="n">
        <v>6.5</v>
      </c>
      <c r="F36" s="31" t="n">
        <v>0</v>
      </c>
      <c r="G36" s="11" t="n">
        <f aca="false">IF(B36="","",C36*E36/(1-F36))</f>
        <v>0.39</v>
      </c>
    </row>
    <row r="37" customFormat="false" ht="15" hidden="false" customHeight="false" outlineLevel="0" collapsed="false">
      <c r="A37" s="28"/>
      <c r="B37" s="28"/>
      <c r="C37" s="29"/>
      <c r="D37" s="28"/>
      <c r="E37" s="18"/>
      <c r="F37" s="31"/>
      <c r="G37" s="11" t="str">
        <f aca="false">IF(B37="","",C37*E37/(1-F37))</f>
        <v/>
      </c>
    </row>
    <row r="38" customFormat="false" ht="15" hidden="false" customHeight="false" outlineLevel="0" collapsed="false">
      <c r="A38" s="28"/>
      <c r="B38" s="28"/>
      <c r="C38" s="29"/>
      <c r="D38" s="28"/>
      <c r="E38" s="18"/>
      <c r="F38" s="31"/>
      <c r="G38" s="11" t="str">
        <f aca="false">IF(B38="","",C38*E38/(1-F38))</f>
        <v/>
      </c>
    </row>
    <row r="39" customFormat="false" ht="15" hidden="false" customHeight="false" outlineLevel="0" collapsed="false">
      <c r="A39" s="28"/>
      <c r="B39" s="28"/>
      <c r="C39" s="29"/>
      <c r="D39" s="28"/>
      <c r="E39" s="18"/>
      <c r="F39" s="31"/>
      <c r="G39" s="11" t="str">
        <f aca="false">IF(B39="","",C39*E39/(1-F39))</f>
        <v/>
      </c>
    </row>
    <row r="40" customFormat="false" ht="15" hidden="false" customHeight="false" outlineLevel="0" collapsed="false">
      <c r="A40" s="28"/>
      <c r="B40" s="28"/>
      <c r="C40" s="29"/>
      <c r="D40" s="28"/>
      <c r="E40" s="18"/>
      <c r="F40" s="31"/>
      <c r="G40" s="11" t="str">
        <f aca="false">IF(B40="","",C40*E40/(1-F40))</f>
        <v/>
      </c>
    </row>
    <row r="41" customFormat="false" ht="15" hidden="false" customHeight="false" outlineLevel="0" collapsed="false">
      <c r="A41" s="28"/>
      <c r="B41" s="28"/>
      <c r="C41" s="29"/>
      <c r="D41" s="28"/>
      <c r="E41" s="18"/>
      <c r="F41" s="31"/>
      <c r="G41" s="11" t="str">
        <f aca="false">IF(B41="","",C41*E41/(1-F41))</f>
        <v/>
      </c>
    </row>
    <row r="42" customFormat="false" ht="15" hidden="false" customHeight="false" outlineLevel="0" collapsed="false">
      <c r="A42" s="28"/>
      <c r="B42" s="28"/>
      <c r="C42" s="29"/>
      <c r="D42" s="28"/>
      <c r="E42" s="18"/>
      <c r="F42" s="31"/>
      <c r="G42" s="11" t="str">
        <f aca="false">IF(B42="","",C42*E42/(1-F42))</f>
        <v/>
      </c>
    </row>
    <row r="43" customFormat="false" ht="15" hidden="false" customHeight="false" outlineLevel="0" collapsed="false">
      <c r="A43" s="28"/>
      <c r="B43" s="28"/>
      <c r="C43" s="29"/>
      <c r="D43" s="28"/>
      <c r="E43" s="18"/>
      <c r="F43" s="31"/>
      <c r="G43" s="11" t="str">
        <f aca="false">IF(B43="","",C43*E43/(1-F43))</f>
        <v/>
      </c>
    </row>
    <row r="44" customFormat="false" ht="15" hidden="false" customHeight="false" outlineLevel="0" collapsed="false">
      <c r="A44" s="28"/>
      <c r="B44" s="28"/>
      <c r="C44" s="29"/>
      <c r="D44" s="28"/>
      <c r="E44" s="18"/>
      <c r="F44" s="31"/>
      <c r="G44" s="11" t="str">
        <f aca="false">IF(B44="","",C44*E44/(1-F44))</f>
        <v/>
      </c>
    </row>
    <row r="45" customFormat="false" ht="15" hidden="false" customHeight="false" outlineLevel="0" collapsed="false">
      <c r="A45" s="28"/>
      <c r="B45" s="28"/>
      <c r="C45" s="29"/>
      <c r="D45" s="28"/>
      <c r="E45" s="18"/>
      <c r="F45" s="31"/>
      <c r="G45" s="11" t="str">
        <f aca="false">IF(B45="","",C45*E45/(1-F45))</f>
        <v/>
      </c>
    </row>
    <row r="46" customFormat="false" ht="15" hidden="false" customHeight="false" outlineLevel="0" collapsed="false">
      <c r="A46" s="28"/>
      <c r="B46" s="28"/>
      <c r="C46" s="29"/>
      <c r="D46" s="28"/>
      <c r="E46" s="18"/>
      <c r="F46" s="31"/>
      <c r="G46" s="11" t="str">
        <f aca="false">IF(B46="","",C46*E46/(1-F46))</f>
        <v/>
      </c>
    </row>
    <row r="47" customFormat="false" ht="15" hidden="false" customHeight="false" outlineLevel="0" collapsed="false">
      <c r="A47" s="28"/>
      <c r="B47" s="28"/>
      <c r="C47" s="29"/>
      <c r="D47" s="28"/>
      <c r="E47" s="18"/>
      <c r="F47" s="31"/>
      <c r="G47" s="11" t="str">
        <f aca="false">IF(B47="","",C47*E47/(1-F47))</f>
        <v/>
      </c>
    </row>
    <row r="48" customFormat="false" ht="15" hidden="false" customHeight="false" outlineLevel="0" collapsed="false">
      <c r="A48" s="28"/>
      <c r="B48" s="28"/>
      <c r="C48" s="29"/>
      <c r="D48" s="28"/>
      <c r="E48" s="18"/>
      <c r="F48" s="31"/>
      <c r="G48" s="11" t="str">
        <f aca="false">IF(B48="","",C48*E48/(1-F48))</f>
        <v/>
      </c>
    </row>
    <row r="49" customFormat="false" ht="15" hidden="false" customHeight="false" outlineLevel="0" collapsed="false">
      <c r="A49" s="28"/>
      <c r="B49" s="28"/>
      <c r="C49" s="29"/>
      <c r="D49" s="28"/>
      <c r="E49" s="18"/>
      <c r="F49" s="31"/>
      <c r="G49" s="11" t="str">
        <f aca="false">IF(B49="","",C49*E49/(1-F49))</f>
        <v/>
      </c>
    </row>
    <row r="50" customFormat="false" ht="15" hidden="false" customHeight="false" outlineLevel="0" collapsed="false">
      <c r="A50" s="28"/>
      <c r="B50" s="28"/>
      <c r="C50" s="29"/>
      <c r="D50" s="28"/>
      <c r="E50" s="18"/>
      <c r="F50" s="31"/>
      <c r="G50" s="11" t="str">
        <f aca="false">IF(B50="","",C50*E50/(1-F50))</f>
        <v/>
      </c>
    </row>
    <row r="51" customFormat="false" ht="15" hidden="false" customHeight="false" outlineLevel="0" collapsed="false">
      <c r="A51" s="28"/>
      <c r="B51" s="28"/>
      <c r="C51" s="29"/>
      <c r="D51" s="28"/>
      <c r="E51" s="18"/>
      <c r="F51" s="31"/>
      <c r="G51" s="11" t="str">
        <f aca="false">IF(B51="","",C51*E51/(1-F51))</f>
        <v/>
      </c>
    </row>
    <row r="52" customFormat="false" ht="15" hidden="false" customHeight="false" outlineLevel="0" collapsed="false">
      <c r="A52" s="28"/>
      <c r="B52" s="28"/>
      <c r="C52" s="29"/>
      <c r="D52" s="28"/>
      <c r="E52" s="18"/>
      <c r="F52" s="31"/>
      <c r="G52" s="11" t="str">
        <f aca="false">IF(B52="","",C52*E52/(1-F52))</f>
        <v/>
      </c>
    </row>
    <row r="53" customFormat="false" ht="15" hidden="false" customHeight="false" outlineLevel="0" collapsed="false">
      <c r="A53" s="28"/>
      <c r="B53" s="28"/>
      <c r="C53" s="29"/>
      <c r="D53" s="28"/>
      <c r="E53" s="18"/>
      <c r="F53" s="31"/>
      <c r="G53" s="11" t="str">
        <f aca="false">IF(B53="","",C53*E53/(1-F53))</f>
        <v/>
      </c>
    </row>
    <row r="54" customFormat="false" ht="15" hidden="false" customHeight="false" outlineLevel="0" collapsed="false">
      <c r="A54" s="28"/>
      <c r="B54" s="28"/>
      <c r="C54" s="29"/>
      <c r="D54" s="28"/>
      <c r="E54" s="18"/>
      <c r="F54" s="31"/>
      <c r="G54" s="11" t="str">
        <f aca="false">IF(B54="","",C54*E54/(1-F54))</f>
        <v/>
      </c>
    </row>
    <row r="55" customFormat="false" ht="15" hidden="false" customHeight="false" outlineLevel="0" collapsed="false">
      <c r="A55" s="28"/>
      <c r="B55" s="28"/>
      <c r="C55" s="29"/>
      <c r="D55" s="28"/>
      <c r="E55" s="18"/>
      <c r="F55" s="31"/>
      <c r="G55" s="11" t="str">
        <f aca="false">IF(B55="","",C55*E55/(1-F55))</f>
        <v/>
      </c>
    </row>
    <row r="56" customFormat="false" ht="15" hidden="false" customHeight="false" outlineLevel="0" collapsed="false">
      <c r="A56" s="28"/>
      <c r="B56" s="28"/>
      <c r="C56" s="29"/>
      <c r="D56" s="28"/>
      <c r="E56" s="18"/>
      <c r="F56" s="31"/>
      <c r="G56" s="11" t="str">
        <f aca="false">IF(B56="","",C56*E56/(1-F56))</f>
        <v/>
      </c>
    </row>
    <row r="57" customFormat="false" ht="15" hidden="false" customHeight="false" outlineLevel="0" collapsed="false">
      <c r="A57" s="28"/>
      <c r="B57" s="28"/>
      <c r="C57" s="29"/>
      <c r="D57" s="28"/>
      <c r="E57" s="18"/>
      <c r="F57" s="31"/>
      <c r="G57" s="11" t="str">
        <f aca="false">IF(B57="","",C57*E57/(1-F57))</f>
        <v/>
      </c>
    </row>
    <row r="58" customFormat="false" ht="15" hidden="false" customHeight="false" outlineLevel="0" collapsed="false">
      <c r="A58" s="28"/>
      <c r="B58" s="28"/>
      <c r="C58" s="29"/>
      <c r="D58" s="28"/>
      <c r="E58" s="18"/>
      <c r="F58" s="31"/>
      <c r="G58" s="11" t="str">
        <f aca="false">IF(B58="","",C58*E58/(1-F58))</f>
        <v/>
      </c>
    </row>
    <row r="59" customFormat="false" ht="15" hidden="false" customHeight="false" outlineLevel="0" collapsed="false">
      <c r="A59" s="28"/>
      <c r="B59" s="28"/>
      <c r="C59" s="29"/>
      <c r="D59" s="28"/>
      <c r="E59" s="18"/>
      <c r="F59" s="31"/>
      <c r="G59" s="11" t="str">
        <f aca="false">IF(B59="","",C59*E59/(1-F59))</f>
        <v/>
      </c>
    </row>
    <row r="60" customFormat="false" ht="15" hidden="false" customHeight="false" outlineLevel="0" collapsed="false">
      <c r="A60" s="28"/>
      <c r="B60" s="28"/>
      <c r="C60" s="29"/>
      <c r="D60" s="28"/>
      <c r="E60" s="18"/>
      <c r="F60" s="31"/>
      <c r="G60" s="11" t="str">
        <f aca="false">IF(B60="","",C60*E60/(1-F60))</f>
        <v/>
      </c>
    </row>
    <row r="61" customFormat="false" ht="15" hidden="false" customHeight="false" outlineLevel="0" collapsed="false">
      <c r="A61" s="28"/>
      <c r="B61" s="28"/>
      <c r="C61" s="29"/>
      <c r="D61" s="28"/>
      <c r="E61" s="18"/>
      <c r="F61" s="31"/>
      <c r="G61" s="11" t="str">
        <f aca="false">IF(B61="","",C61*E61/(1-F61))</f>
        <v/>
      </c>
    </row>
    <row r="62" customFormat="false" ht="15" hidden="false" customHeight="false" outlineLevel="0" collapsed="false">
      <c r="A62" s="28"/>
      <c r="B62" s="28"/>
      <c r="C62" s="29"/>
      <c r="D62" s="28"/>
      <c r="E62" s="18"/>
      <c r="F62" s="31"/>
      <c r="G62" s="11" t="str">
        <f aca="false">IF(B62="","",C62*E62/(1-F62))</f>
        <v/>
      </c>
    </row>
    <row r="63" customFormat="false" ht="15" hidden="false" customHeight="false" outlineLevel="0" collapsed="false">
      <c r="A63" s="28"/>
      <c r="B63" s="28"/>
      <c r="C63" s="29"/>
      <c r="D63" s="28"/>
      <c r="E63" s="18"/>
      <c r="F63" s="31"/>
      <c r="G63" s="11" t="str">
        <f aca="false">IF(B63="","",C63*E63/(1-F63))</f>
        <v/>
      </c>
    </row>
    <row r="65" customFormat="false" ht="15" hidden="false" customHeight="false" outlineLevel="0" collapsed="false">
      <c r="A65" s="5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7" min="4" style="0" width="13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1" t="s">
        <v>131</v>
      </c>
    </row>
    <row r="3" customFormat="false" ht="23.85" hidden="false" customHeight="false" outlineLevel="0" collapsed="false">
      <c r="A3" s="20" t="s">
        <v>76</v>
      </c>
      <c r="B3" s="20" t="s">
        <v>132</v>
      </c>
      <c r="C3" s="20" t="s">
        <v>133</v>
      </c>
      <c r="D3" s="20" t="s">
        <v>134</v>
      </c>
      <c r="E3" s="20" t="s">
        <v>135</v>
      </c>
      <c r="F3" s="20" t="s">
        <v>136</v>
      </c>
      <c r="G3" s="20" t="s">
        <v>137</v>
      </c>
      <c r="H3" s="20" t="s">
        <v>138</v>
      </c>
      <c r="I3" s="20" t="s">
        <v>139</v>
      </c>
      <c r="J3" s="20" t="s">
        <v>140</v>
      </c>
      <c r="K3" s="20" t="s">
        <v>141</v>
      </c>
    </row>
    <row r="4" customFormat="false" ht="15" hidden="false" customHeight="false" outlineLevel="0" collapsed="false">
      <c r="A4" s="28" t="s">
        <v>83</v>
      </c>
      <c r="B4" s="28" t="s">
        <v>142</v>
      </c>
      <c r="C4" s="18" t="n">
        <v>8.5</v>
      </c>
      <c r="D4" s="22" t="n">
        <v>320</v>
      </c>
      <c r="E4" s="32" t="n">
        <f aca="false">IF(A4="","",SUMIF(Escandallos!$A$4:$A$63,A4,Escandallos!$G$4:$G$63))</f>
        <v>2.39736842105263</v>
      </c>
      <c r="F4" s="14" t="n">
        <f aca="false">IF(A4="","",C4*D4)</f>
        <v>2720</v>
      </c>
      <c r="G4" s="14" t="n">
        <f aca="false">IF(A4="","",E4*D4)</f>
        <v>767.157894736842</v>
      </c>
      <c r="H4" s="14" t="n">
        <f aca="false">IF(A4="","",F4-G4)</f>
        <v>1952.84210526316</v>
      </c>
      <c r="I4" s="12" t="n">
        <f aca="false">IF(OR(A4="",F4=0),"",H4/F4)</f>
        <v>0.717956656346749</v>
      </c>
      <c r="J4" s="12" t="n">
        <f aca="false">IF(OR(A4="",C4=0),"",E4/C4)</f>
        <v>0.282043343653251</v>
      </c>
      <c r="K4" s="33" t="str">
        <f aca="false">IF(A4="","",IF(AND(D4&gt;=$D$25,I4&gt;=$I$25),"⭐ Estrella (mantener)",IF(D4&gt;=$D$25,"🐮 Popular con poco margen (subir precio o bajar coste)",IF(I4&gt;=$I$25,"🧩 Rentable poco pedido (promocionar)","🐕 Revisar o retirar"))))</f>
        <v>🐮 Popular con poco margen (subir precio o bajar coste)</v>
      </c>
    </row>
    <row r="5" customFormat="false" ht="15" hidden="false" customHeight="false" outlineLevel="0" collapsed="false">
      <c r="A5" s="28" t="s">
        <v>90</v>
      </c>
      <c r="B5" s="28" t="s">
        <v>142</v>
      </c>
      <c r="C5" s="18" t="n">
        <v>7.5</v>
      </c>
      <c r="D5" s="22" t="n">
        <v>260</v>
      </c>
      <c r="E5" s="32" t="n">
        <f aca="false">IF(A5="","",SUMIF(Escandallos!$A$4:$A$63,A5,Escandallos!$G$4:$G$63))</f>
        <v>1.66333333333333</v>
      </c>
      <c r="F5" s="14" t="n">
        <f aca="false">IF(A5="","",C5*D5)</f>
        <v>1950</v>
      </c>
      <c r="G5" s="14" t="n">
        <f aca="false">IF(A5="","",E5*D5)</f>
        <v>432.466666666667</v>
      </c>
      <c r="H5" s="14" t="n">
        <f aca="false">IF(A5="","",F5-G5)</f>
        <v>1517.53333333333</v>
      </c>
      <c r="I5" s="12" t="n">
        <f aca="false">IF(OR(A5="",F5=0),"",H5/F5)</f>
        <v>0.778222222222222</v>
      </c>
      <c r="J5" s="12" t="n">
        <f aca="false">IF(OR(A5="",C5=0),"",E5/C5)</f>
        <v>0.221777777777778</v>
      </c>
      <c r="K5" s="33" t="str">
        <f aca="false">IF(A5="","",IF(AND(D5&gt;=$D$25,I5&gt;=$I$25),"⭐ Estrella (mantener)",IF(D5&gt;=$D$25,"🐮 Popular con poco margen (subir precio o bajar coste)",IF(I5&gt;=$I$25,"🧩 Rentable poco pedido (promocionar)","🐕 Revisar o retirar"))))</f>
        <v>⭐ Estrella (mantener)</v>
      </c>
    </row>
    <row r="6" customFormat="false" ht="15" hidden="false" customHeight="false" outlineLevel="0" collapsed="false">
      <c r="A6" s="28" t="s">
        <v>94</v>
      </c>
      <c r="B6" s="28" t="s">
        <v>142</v>
      </c>
      <c r="C6" s="18" t="n">
        <v>16.9</v>
      </c>
      <c r="D6" s="22" t="n">
        <v>140</v>
      </c>
      <c r="E6" s="32" t="n">
        <f aca="false">IF(A6="","",SUMIF(Escandallos!$A$4:$A$63,A6,Escandallos!$G$4:$G$63))</f>
        <v>4.7633409610984</v>
      </c>
      <c r="F6" s="14" t="n">
        <f aca="false">IF(A6="","",C6*D6)</f>
        <v>2366</v>
      </c>
      <c r="G6" s="14" t="n">
        <f aca="false">IF(A6="","",E6*D6)</f>
        <v>666.867734553776</v>
      </c>
      <c r="H6" s="14" t="n">
        <f aca="false">IF(A6="","",F6-G6)</f>
        <v>1699.13226544622</v>
      </c>
      <c r="I6" s="12" t="n">
        <f aca="false">IF(OR(A6="",F6=0),"",H6/F6)</f>
        <v>0.71814550526045</v>
      </c>
      <c r="J6" s="12" t="n">
        <f aca="false">IF(OR(A6="",C6=0),"",E6/C6)</f>
        <v>0.28185449473955</v>
      </c>
      <c r="K6" s="33" t="str">
        <f aca="false">IF(A6="","",IF(AND(D6&gt;=$D$25,I6&gt;=$I$25),"⭐ Estrella (mantener)",IF(D6&gt;=$D$25,"🐮 Popular con poco margen (subir precio o bajar coste)",IF(I6&gt;=$I$25,"🧩 Rentable poco pedido (promocionar)","🐕 Revisar o retirar"))))</f>
        <v>🐕 Revisar o retirar</v>
      </c>
    </row>
    <row r="7" customFormat="false" ht="15" hidden="false" customHeight="false" outlineLevel="0" collapsed="false">
      <c r="A7" s="28" t="s">
        <v>98</v>
      </c>
      <c r="B7" s="28" t="s">
        <v>143</v>
      </c>
      <c r="C7" s="18" t="n">
        <v>18.5</v>
      </c>
      <c r="D7" s="22" t="n">
        <v>210</v>
      </c>
      <c r="E7" s="32" t="n">
        <f aca="false">IF(A7="","",SUMIF(Escandallos!$A$4:$A$63,A7,Escandallos!$G$4:$G$63))</f>
        <v>5.01578947368421</v>
      </c>
      <c r="F7" s="14" t="n">
        <f aca="false">IF(A7="","",C7*D7)</f>
        <v>3885</v>
      </c>
      <c r="G7" s="14" t="n">
        <f aca="false">IF(A7="","",E7*D7)</f>
        <v>1053.31578947368</v>
      </c>
      <c r="H7" s="14" t="n">
        <f aca="false">IF(A7="","",F7-G7)</f>
        <v>2831.68421052632</v>
      </c>
      <c r="I7" s="12" t="n">
        <f aca="false">IF(OR(A7="",F7=0),"",H7/F7)</f>
        <v>0.728876244665718</v>
      </c>
      <c r="J7" s="12" t="n">
        <f aca="false">IF(OR(A7="",C7=0),"",E7/C7)</f>
        <v>0.271123755334282</v>
      </c>
      <c r="K7" s="33" t="str">
        <f aca="false">IF(A7="","",IF(AND(D7&gt;=$D$25,I7&gt;=$I$25),"⭐ Estrella (mantener)",IF(D7&gt;=$D$25,"🐮 Popular con poco margen (subir precio o bajar coste)",IF(I7&gt;=$I$25,"🧩 Rentable poco pedido (promocionar)","🐕 Revisar o retirar"))))</f>
        <v>🐕 Revisar o retirar</v>
      </c>
    </row>
    <row r="8" customFormat="false" ht="15" hidden="false" customHeight="false" outlineLevel="0" collapsed="false">
      <c r="A8" s="28" t="s">
        <v>101</v>
      </c>
      <c r="B8" s="28" t="s">
        <v>143</v>
      </c>
      <c r="C8" s="18" t="n">
        <v>21</v>
      </c>
      <c r="D8" s="22" t="n">
        <v>150</v>
      </c>
      <c r="E8" s="32" t="n">
        <f aca="false">IF(A8="","",SUMIF(Escandallos!$A$4:$A$63,A8,Escandallos!$G$4:$G$63))</f>
        <v>6.72196796338673</v>
      </c>
      <c r="F8" s="14" t="n">
        <f aca="false">IF(A8="","",C8*D8)</f>
        <v>3150</v>
      </c>
      <c r="G8" s="14" t="n">
        <f aca="false">IF(A8="","",E8*D8)</f>
        <v>1008.29519450801</v>
      </c>
      <c r="H8" s="14" t="n">
        <f aca="false">IF(A8="","",F8-G8)</f>
        <v>2141.70480549199</v>
      </c>
      <c r="I8" s="12" t="n">
        <f aca="false">IF(OR(A8="",F8=0),"",H8/F8)</f>
        <v>0.679906287457775</v>
      </c>
      <c r="J8" s="12" t="n">
        <f aca="false">IF(OR(A8="",C8=0),"",E8/C8)</f>
        <v>0.320093712542225</v>
      </c>
      <c r="K8" s="33" t="str">
        <f aca="false">IF(A8="","",IF(AND(D8&gt;=$D$25,I8&gt;=$I$25),"⭐ Estrella (mantener)",IF(D8&gt;=$D$25,"🐮 Popular con poco margen (subir precio o bajar coste)",IF(I8&gt;=$I$25,"🧩 Rentable poco pedido (promocionar)","🐕 Revisar o retirar"))))</f>
        <v>🐕 Revisar o retirar</v>
      </c>
    </row>
    <row r="9" customFormat="false" ht="15" hidden="false" customHeight="false" outlineLevel="0" collapsed="false">
      <c r="A9" s="28" t="s">
        <v>104</v>
      </c>
      <c r="B9" s="28" t="s">
        <v>143</v>
      </c>
      <c r="C9" s="18" t="n">
        <v>12.9</v>
      </c>
      <c r="D9" s="22" t="n">
        <v>340</v>
      </c>
      <c r="E9" s="32" t="n">
        <f aca="false">IF(A9="","",SUMIF(Escandallos!$A$4:$A$63,A9,Escandallos!$G$4:$G$63))</f>
        <v>3.39288659793814</v>
      </c>
      <c r="F9" s="14" t="n">
        <f aca="false">IF(A9="","",C9*D9)</f>
        <v>4386</v>
      </c>
      <c r="G9" s="14" t="n">
        <f aca="false">IF(A9="","",E9*D9)</f>
        <v>1153.58144329897</v>
      </c>
      <c r="H9" s="14" t="n">
        <f aca="false">IF(A9="","",F9-G9)</f>
        <v>3232.41855670103</v>
      </c>
      <c r="I9" s="12" t="n">
        <f aca="false">IF(OR(A9="",F9=0),"",H9/F9)</f>
        <v>0.736985535043555</v>
      </c>
      <c r="J9" s="12" t="n">
        <f aca="false">IF(OR(A9="",C9=0),"",E9/C9)</f>
        <v>0.263014464956445</v>
      </c>
      <c r="K9" s="33" t="str">
        <f aca="false">IF(A9="","",IF(AND(D9&gt;=$D$25,I9&gt;=$I$25),"⭐ Estrella (mantener)",IF(D9&gt;=$D$25,"🐮 Popular con poco margen (subir precio o bajar coste)",IF(I9&gt;=$I$25,"🧩 Rentable poco pedido (promocionar)","🐕 Revisar o retirar"))))</f>
        <v>🐮 Popular con poco margen (subir precio o bajar coste)</v>
      </c>
    </row>
    <row r="10" customFormat="false" ht="15" hidden="false" customHeight="false" outlineLevel="0" collapsed="false">
      <c r="A10" s="28" t="s">
        <v>110</v>
      </c>
      <c r="B10" s="28" t="s">
        <v>144</v>
      </c>
      <c r="C10" s="18" t="n">
        <v>17.5</v>
      </c>
      <c r="D10" s="22" t="n">
        <v>120</v>
      </c>
      <c r="E10" s="32" t="n">
        <f aca="false">IF(A10="","",SUMIF(Escandallos!$A$4:$A$63,A10,Escandallos!$G$4:$G$63))</f>
        <v>6.02198142414861</v>
      </c>
      <c r="F10" s="14" t="n">
        <f aca="false">IF(A10="","",C10*D10)</f>
        <v>2100</v>
      </c>
      <c r="G10" s="14" t="n">
        <f aca="false">IF(A10="","",E10*D10)</f>
        <v>722.637770897833</v>
      </c>
      <c r="H10" s="14" t="n">
        <f aca="false">IF(A10="","",F10-G10)</f>
        <v>1377.36222910217</v>
      </c>
      <c r="I10" s="12" t="n">
        <f aca="false">IF(OR(A10="",F10=0),"",H10/F10)</f>
        <v>0.655886775762937</v>
      </c>
      <c r="J10" s="12" t="n">
        <f aca="false">IF(OR(A10="",C10=0),"",E10/C10)</f>
        <v>0.344113224237063</v>
      </c>
      <c r="K10" s="33" t="str">
        <f aca="false">IF(A10="","",IF(AND(D10&gt;=$D$25,I10&gt;=$I$25),"⭐ Estrella (mantener)",IF(D10&gt;=$D$25,"🐮 Popular con poco margen (subir precio o bajar coste)",IF(I10&gt;=$I$25,"🧩 Rentable poco pedido (promocionar)","🐕 Revisar o retirar"))))</f>
        <v>🐕 Revisar o retirar</v>
      </c>
    </row>
    <row r="11" customFormat="false" ht="15" hidden="false" customHeight="false" outlineLevel="0" collapsed="false">
      <c r="A11" s="28" t="s">
        <v>112</v>
      </c>
      <c r="B11" s="28" t="s">
        <v>144</v>
      </c>
      <c r="C11" s="18" t="n">
        <v>16</v>
      </c>
      <c r="D11" s="22" t="n">
        <v>90</v>
      </c>
      <c r="E11" s="32" t="n">
        <f aca="false">IF(A11="","",SUMIF(Escandallos!$A$4:$A$63,A11,Escandallos!$G$4:$G$63))</f>
        <v>4.76666666666667</v>
      </c>
      <c r="F11" s="14" t="n">
        <f aca="false">IF(A11="","",C11*D11)</f>
        <v>1440</v>
      </c>
      <c r="G11" s="14" t="n">
        <f aca="false">IF(A11="","",E11*D11)</f>
        <v>429</v>
      </c>
      <c r="H11" s="14" t="n">
        <f aca="false">IF(A11="","",F11-G11)</f>
        <v>1011</v>
      </c>
      <c r="I11" s="12" t="n">
        <f aca="false">IF(OR(A11="",F11=0),"",H11/F11)</f>
        <v>0.702083333333333</v>
      </c>
      <c r="J11" s="12" t="n">
        <f aca="false">IF(OR(A11="",C11=0),"",E11/C11)</f>
        <v>0.297916666666667</v>
      </c>
      <c r="K11" s="33" t="str">
        <f aca="false">IF(A11="","",IF(AND(D11&gt;=$D$25,I11&gt;=$I$25),"⭐ Estrella (mantener)",IF(D11&gt;=$D$25,"🐮 Popular con poco margen (subir precio o bajar coste)",IF(I11&gt;=$I$25,"🧩 Rentable poco pedido (promocionar)","🐕 Revisar o retirar"))))</f>
        <v>🐕 Revisar o retirar</v>
      </c>
    </row>
    <row r="12" customFormat="false" ht="15" hidden="false" customHeight="false" outlineLevel="0" collapsed="false">
      <c r="A12" s="28" t="s">
        <v>115</v>
      </c>
      <c r="B12" s="28" t="s">
        <v>116</v>
      </c>
      <c r="C12" s="18" t="n">
        <v>14.5</v>
      </c>
      <c r="D12" s="22" t="n">
        <v>280</v>
      </c>
      <c r="E12" s="32" t="n">
        <f aca="false">IF(A12="","",SUMIF(Escandallos!$A$4:$A$63,A12,Escandallos!$G$4:$G$63))</f>
        <v>2.866</v>
      </c>
      <c r="F12" s="14" t="n">
        <f aca="false">IF(A12="","",C12*D12)</f>
        <v>4060</v>
      </c>
      <c r="G12" s="14" t="n">
        <f aca="false">IF(A12="","",E12*D12)</f>
        <v>802.48</v>
      </c>
      <c r="H12" s="14" t="n">
        <f aca="false">IF(A12="","",F12-G12)</f>
        <v>3257.52</v>
      </c>
      <c r="I12" s="12" t="n">
        <f aca="false">IF(OR(A12="",F12=0),"",H12/F12)</f>
        <v>0.802344827586207</v>
      </c>
      <c r="J12" s="12" t="n">
        <f aca="false">IF(OR(A12="",C12=0),"",E12/C12)</f>
        <v>0.197655172413793</v>
      </c>
      <c r="K12" s="33" t="str">
        <f aca="false">IF(A12="","",IF(AND(D12&gt;=$D$25,I12&gt;=$I$25),"⭐ Estrella (mantener)",IF(D12&gt;=$D$25,"🐮 Popular con poco margen (subir precio o bajar coste)",IF(I12&gt;=$I$25,"🧩 Rentable poco pedido (promocionar)","🐕 Revisar o retirar"))))</f>
        <v>⭐ Estrella (mantener)</v>
      </c>
    </row>
    <row r="13" customFormat="false" ht="15" hidden="false" customHeight="false" outlineLevel="0" collapsed="false">
      <c r="A13" s="28" t="s">
        <v>119</v>
      </c>
      <c r="B13" s="28" t="s">
        <v>116</v>
      </c>
      <c r="C13" s="18" t="n">
        <v>12</v>
      </c>
      <c r="D13" s="22" t="n">
        <v>110</v>
      </c>
      <c r="E13" s="32" t="n">
        <f aca="false">IF(A13="","",SUMIF(Escandallos!$A$4:$A$63,A13,Escandallos!$G$4:$G$63))</f>
        <v>2.52313043478261</v>
      </c>
      <c r="F13" s="14" t="n">
        <f aca="false">IF(A13="","",C13*D13)</f>
        <v>1320</v>
      </c>
      <c r="G13" s="14" t="n">
        <f aca="false">IF(A13="","",E13*D13)</f>
        <v>277.544347826087</v>
      </c>
      <c r="H13" s="14" t="n">
        <f aca="false">IF(A13="","",F13-G13)</f>
        <v>1042.45565217391</v>
      </c>
      <c r="I13" s="12" t="n">
        <f aca="false">IF(OR(A13="",F13=0),"",H13/F13)</f>
        <v>0.789739130434783</v>
      </c>
      <c r="J13" s="12" t="n">
        <f aca="false">IF(OR(A13="",C13=0),"",E13/C13)</f>
        <v>0.210260869565217</v>
      </c>
      <c r="K13" s="33" t="str">
        <f aca="false">IF(A13="","",IF(AND(D13&gt;=$D$25,I13&gt;=$I$25),"⭐ Estrella (mantener)",IF(D13&gt;=$D$25,"🐮 Popular con poco margen (subir precio o bajar coste)",IF(I13&gt;=$I$25,"🧩 Rentable poco pedido (promocionar)","🐕 Revisar o retirar"))))</f>
        <v>🧩 Rentable poco pedido (promocionar)</v>
      </c>
    </row>
    <row r="14" customFormat="false" ht="15" hidden="false" customHeight="false" outlineLevel="0" collapsed="false">
      <c r="A14" s="28" t="s">
        <v>123</v>
      </c>
      <c r="B14" s="28" t="s">
        <v>145</v>
      </c>
      <c r="C14" s="18" t="n">
        <v>5.9</v>
      </c>
      <c r="D14" s="22" t="n">
        <v>300</v>
      </c>
      <c r="E14" s="32" t="n">
        <f aca="false">IF(A14="","",SUMIF(Escandallos!$A$4:$A$63,A14,Escandallos!$G$4:$G$63))</f>
        <v>1.065</v>
      </c>
      <c r="F14" s="14" t="n">
        <f aca="false">IF(A14="","",C14*D14)</f>
        <v>1770</v>
      </c>
      <c r="G14" s="14" t="n">
        <f aca="false">IF(A14="","",E14*D14)</f>
        <v>319.5</v>
      </c>
      <c r="H14" s="14" t="n">
        <f aca="false">IF(A14="","",F14-G14)</f>
        <v>1450.5</v>
      </c>
      <c r="I14" s="12" t="n">
        <f aca="false">IF(OR(A14="",F14=0),"",H14/F14)</f>
        <v>0.819491525423729</v>
      </c>
      <c r="J14" s="12" t="n">
        <f aca="false">IF(OR(A14="",C14=0),"",E14/C14)</f>
        <v>0.180508474576271</v>
      </c>
      <c r="K14" s="33" t="str">
        <f aca="false">IF(A14="","",IF(AND(D14&gt;=$D$25,I14&gt;=$I$25),"⭐ Estrella (mantener)",IF(D14&gt;=$D$25,"🐮 Popular con poco margen (subir precio o bajar coste)",IF(I14&gt;=$I$25,"🧩 Rentable poco pedido (promocionar)","🐕 Revisar o retirar"))))</f>
        <v>⭐ Estrella (mantener)</v>
      </c>
    </row>
    <row r="15" customFormat="false" ht="15" hidden="false" customHeight="false" outlineLevel="0" collapsed="false">
      <c r="A15" s="28" t="s">
        <v>126</v>
      </c>
      <c r="B15" s="28" t="s">
        <v>145</v>
      </c>
      <c r="C15" s="18" t="n">
        <v>6.2</v>
      </c>
      <c r="D15" s="22" t="n">
        <v>220</v>
      </c>
      <c r="E15" s="32" t="n">
        <f aca="false">IF(A15="","",SUMIF(Escandallos!$A$4:$A$63,A15,Escandallos!$G$4:$G$63))</f>
        <v>1.53</v>
      </c>
      <c r="F15" s="14" t="n">
        <f aca="false">IF(A15="","",C15*D15)</f>
        <v>1364</v>
      </c>
      <c r="G15" s="14" t="n">
        <f aca="false">IF(A15="","",E15*D15)</f>
        <v>336.6</v>
      </c>
      <c r="H15" s="14" t="n">
        <f aca="false">IF(A15="","",F15-G15)</f>
        <v>1027.4</v>
      </c>
      <c r="I15" s="12" t="n">
        <f aca="false">IF(OR(A15="",F15=0),"",H15/F15)</f>
        <v>0.753225806451613</v>
      </c>
      <c r="J15" s="12" t="n">
        <f aca="false">IF(OR(A15="",C15=0),"",E15/C15)</f>
        <v>0.246774193548387</v>
      </c>
      <c r="K15" s="33" t="str">
        <f aca="false">IF(A15="","",IF(AND(D15&gt;=$D$25,I15&gt;=$I$25),"⭐ Estrella (mantener)",IF(D15&gt;=$D$25,"🐮 Popular con poco margen (subir precio o bajar coste)",IF(I15&gt;=$I$25,"🧩 Rentable poco pedido (promocionar)","🐕 Revisar o retirar"))))</f>
        <v>⭐ Estrella (mantener)</v>
      </c>
    </row>
    <row r="16" customFormat="false" ht="15" hidden="false" customHeight="false" outlineLevel="0" collapsed="false">
      <c r="A16" s="28"/>
      <c r="B16" s="28"/>
      <c r="C16" s="18"/>
      <c r="D16" s="22"/>
      <c r="E16" s="32" t="str">
        <f aca="false">IF(A16="","",SUMIF(Escandallos!$A$4:$A$63,A16,Escandallos!$G$4:$G$63))</f>
        <v/>
      </c>
      <c r="F16" s="14" t="str">
        <f aca="false">IF(A16="","",C16*D16)</f>
        <v/>
      </c>
      <c r="G16" s="14" t="str">
        <f aca="false">IF(A16="","",E16*D16)</f>
        <v/>
      </c>
      <c r="H16" s="14" t="str">
        <f aca="false">IF(A16="","",F16-G16)</f>
        <v/>
      </c>
      <c r="I16" s="12" t="str">
        <f aca="false">IF(OR(A16="",F16=0),"",H16/F16)</f>
        <v/>
      </c>
      <c r="J16" s="12" t="str">
        <f aca="false">IF(OR(A16="",C16=0),"",E16/C16)</f>
        <v/>
      </c>
      <c r="K16" s="33" t="str">
        <f aca="false">IF(A16="","",IF(AND(D16&gt;=$D$25,I16&gt;=$I$25),"⭐ Estrella (mantener)",IF(D16&gt;=$D$25,"🐮 Popular con poco margen (subir precio o bajar coste)",IF(I16&gt;=$I$25,"🧩 Rentable poco pedido (promocionar)","🐕 Revisar o retirar"))))</f>
        <v/>
      </c>
    </row>
    <row r="17" customFormat="false" ht="15" hidden="false" customHeight="false" outlineLevel="0" collapsed="false">
      <c r="A17" s="28"/>
      <c r="B17" s="28"/>
      <c r="C17" s="18"/>
      <c r="D17" s="22"/>
      <c r="E17" s="32" t="str">
        <f aca="false">IF(A17="","",SUMIF(Escandallos!$A$4:$A$63,A17,Escandallos!$G$4:$G$63))</f>
        <v/>
      </c>
      <c r="F17" s="14" t="str">
        <f aca="false">IF(A17="","",C17*D17)</f>
        <v/>
      </c>
      <c r="G17" s="14" t="str">
        <f aca="false">IF(A17="","",E17*D17)</f>
        <v/>
      </c>
      <c r="H17" s="14" t="str">
        <f aca="false">IF(A17="","",F17-G17)</f>
        <v/>
      </c>
      <c r="I17" s="12" t="str">
        <f aca="false">IF(OR(A17="",F17=0),"",H17/F17)</f>
        <v/>
      </c>
      <c r="J17" s="12" t="str">
        <f aca="false">IF(OR(A17="",C17=0),"",E17/C17)</f>
        <v/>
      </c>
      <c r="K17" s="33" t="str">
        <f aca="false">IF(A17="","",IF(AND(D17&gt;=$D$25,I17&gt;=$I$25),"⭐ Estrella (mantener)",IF(D17&gt;=$D$25,"🐮 Popular con poco margen (subir precio o bajar coste)",IF(I17&gt;=$I$25,"🧩 Rentable poco pedido (promocionar)","🐕 Revisar o retirar"))))</f>
        <v/>
      </c>
    </row>
    <row r="18" customFormat="false" ht="15" hidden="false" customHeight="false" outlineLevel="0" collapsed="false">
      <c r="A18" s="28"/>
      <c r="B18" s="28"/>
      <c r="C18" s="18"/>
      <c r="D18" s="22"/>
      <c r="E18" s="32" t="str">
        <f aca="false">IF(A18="","",SUMIF(Escandallos!$A$4:$A$63,A18,Escandallos!$G$4:$G$63))</f>
        <v/>
      </c>
      <c r="F18" s="14" t="str">
        <f aca="false">IF(A18="","",C18*D18)</f>
        <v/>
      </c>
      <c r="G18" s="14" t="str">
        <f aca="false">IF(A18="","",E18*D18)</f>
        <v/>
      </c>
      <c r="H18" s="14" t="str">
        <f aca="false">IF(A18="","",F18-G18)</f>
        <v/>
      </c>
      <c r="I18" s="12" t="str">
        <f aca="false">IF(OR(A18="",F18=0),"",H18/F18)</f>
        <v/>
      </c>
      <c r="J18" s="12" t="str">
        <f aca="false">IF(OR(A18="",C18=0),"",E18/C18)</f>
        <v/>
      </c>
      <c r="K18" s="33" t="str">
        <f aca="false">IF(A18="","",IF(AND(D18&gt;=$D$25,I18&gt;=$I$25),"⭐ Estrella (mantener)",IF(D18&gt;=$D$25,"🐮 Popular con poco margen (subir precio o bajar coste)",IF(I18&gt;=$I$25,"🧩 Rentable poco pedido (promocionar)","🐕 Revisar o retirar"))))</f>
        <v/>
      </c>
    </row>
    <row r="19" customFormat="false" ht="15" hidden="false" customHeight="false" outlineLevel="0" collapsed="false">
      <c r="A19" s="28"/>
      <c r="B19" s="28"/>
      <c r="C19" s="18"/>
      <c r="D19" s="22"/>
      <c r="E19" s="32" t="str">
        <f aca="false">IF(A19="","",SUMIF(Escandallos!$A$4:$A$63,A19,Escandallos!$G$4:$G$63))</f>
        <v/>
      </c>
      <c r="F19" s="14" t="str">
        <f aca="false">IF(A19="","",C19*D19)</f>
        <v/>
      </c>
      <c r="G19" s="14" t="str">
        <f aca="false">IF(A19="","",E19*D19)</f>
        <v/>
      </c>
      <c r="H19" s="14" t="str">
        <f aca="false">IF(A19="","",F19-G19)</f>
        <v/>
      </c>
      <c r="I19" s="12" t="str">
        <f aca="false">IF(OR(A19="",F19=0),"",H19/F19)</f>
        <v/>
      </c>
      <c r="J19" s="12" t="str">
        <f aca="false">IF(OR(A19="",C19=0),"",E19/C19)</f>
        <v/>
      </c>
      <c r="K19" s="33" t="str">
        <f aca="false">IF(A19="","",IF(AND(D19&gt;=$D$25,I19&gt;=$I$25),"⭐ Estrella (mantener)",IF(D19&gt;=$D$25,"🐮 Popular con poco margen (subir precio o bajar coste)",IF(I19&gt;=$I$25,"🧩 Rentable poco pedido (promocionar)","🐕 Revisar o retirar"))))</f>
        <v/>
      </c>
    </row>
    <row r="20" customFormat="false" ht="15" hidden="false" customHeight="false" outlineLevel="0" collapsed="false">
      <c r="A20" s="28"/>
      <c r="B20" s="28"/>
      <c r="C20" s="18"/>
      <c r="D20" s="22"/>
      <c r="E20" s="32" t="str">
        <f aca="false">IF(A20="","",SUMIF(Escandallos!$A$4:$A$63,A20,Escandallos!$G$4:$G$63))</f>
        <v/>
      </c>
      <c r="F20" s="14" t="str">
        <f aca="false">IF(A20="","",C20*D20)</f>
        <v/>
      </c>
      <c r="G20" s="14" t="str">
        <f aca="false">IF(A20="","",E20*D20)</f>
        <v/>
      </c>
      <c r="H20" s="14" t="str">
        <f aca="false">IF(A20="","",F20-G20)</f>
        <v/>
      </c>
      <c r="I20" s="12" t="str">
        <f aca="false">IF(OR(A20="",F20=0),"",H20/F20)</f>
        <v/>
      </c>
      <c r="J20" s="12" t="str">
        <f aca="false">IF(OR(A20="",C20=0),"",E20/C20)</f>
        <v/>
      </c>
      <c r="K20" s="33" t="str">
        <f aca="false">IF(A20="","",IF(AND(D20&gt;=$D$25,I20&gt;=$I$25),"⭐ Estrella (mantener)",IF(D20&gt;=$D$25,"🐮 Popular con poco margen (subir precio o bajar coste)",IF(I20&gt;=$I$25,"🧩 Rentable poco pedido (promocionar)","🐕 Revisar o retirar"))))</f>
        <v/>
      </c>
    </row>
    <row r="21" customFormat="false" ht="15" hidden="false" customHeight="false" outlineLevel="0" collapsed="false">
      <c r="A21" s="28"/>
      <c r="B21" s="28"/>
      <c r="C21" s="18"/>
      <c r="D21" s="22"/>
      <c r="E21" s="32" t="str">
        <f aca="false">IF(A21="","",SUMIF(Escandallos!$A$4:$A$63,A21,Escandallos!$G$4:$G$63))</f>
        <v/>
      </c>
      <c r="F21" s="14" t="str">
        <f aca="false">IF(A21="","",C21*D21)</f>
        <v/>
      </c>
      <c r="G21" s="14" t="str">
        <f aca="false">IF(A21="","",E21*D21)</f>
        <v/>
      </c>
      <c r="H21" s="14" t="str">
        <f aca="false">IF(A21="","",F21-G21)</f>
        <v/>
      </c>
      <c r="I21" s="12" t="str">
        <f aca="false">IF(OR(A21="",F21=0),"",H21/F21)</f>
        <v/>
      </c>
      <c r="J21" s="12" t="str">
        <f aca="false">IF(OR(A21="",C21=0),"",E21/C21)</f>
        <v/>
      </c>
      <c r="K21" s="33" t="str">
        <f aca="false">IF(A21="","",IF(AND(D21&gt;=$D$25,I21&gt;=$I$25),"⭐ Estrella (mantener)",IF(D21&gt;=$D$25,"🐮 Popular con poco margen (subir precio o bajar coste)",IF(I21&gt;=$I$25,"🧩 Rentable poco pedido (promocionar)","🐕 Revisar o retirar"))))</f>
        <v/>
      </c>
    </row>
    <row r="22" customFormat="false" ht="15" hidden="false" customHeight="false" outlineLevel="0" collapsed="false">
      <c r="A22" s="28"/>
      <c r="B22" s="28"/>
      <c r="C22" s="18"/>
      <c r="D22" s="22"/>
      <c r="E22" s="32" t="str">
        <f aca="false">IF(A22="","",SUMIF(Escandallos!$A$4:$A$63,A22,Escandallos!$G$4:$G$63))</f>
        <v/>
      </c>
      <c r="F22" s="14" t="str">
        <f aca="false">IF(A22="","",C22*D22)</f>
        <v/>
      </c>
      <c r="G22" s="14" t="str">
        <f aca="false">IF(A22="","",E22*D22)</f>
        <v/>
      </c>
      <c r="H22" s="14" t="str">
        <f aca="false">IF(A22="","",F22-G22)</f>
        <v/>
      </c>
      <c r="I22" s="12" t="str">
        <f aca="false">IF(OR(A22="",F22=0),"",H22/F22)</f>
        <v/>
      </c>
      <c r="J22" s="12" t="str">
        <f aca="false">IF(OR(A22="",C22=0),"",E22/C22)</f>
        <v/>
      </c>
      <c r="K22" s="33" t="str">
        <f aca="false">IF(A22="","",IF(AND(D22&gt;=$D$25,I22&gt;=$I$25),"⭐ Estrella (mantener)",IF(D22&gt;=$D$25,"🐮 Popular con poco margen (subir precio o bajar coste)",IF(I22&gt;=$I$25,"🧩 Rentable poco pedido (promocionar)","🐕 Revisar o retirar"))))</f>
        <v/>
      </c>
    </row>
    <row r="23" customFormat="false" ht="15" hidden="false" customHeight="false" outlineLevel="0" collapsed="false">
      <c r="A23" s="28"/>
      <c r="B23" s="28"/>
      <c r="C23" s="18"/>
      <c r="D23" s="22"/>
      <c r="E23" s="32" t="str">
        <f aca="false">IF(A23="","",SUMIF(Escandallos!$A$4:$A$63,A23,Escandallos!$G$4:$G$63))</f>
        <v/>
      </c>
      <c r="F23" s="14" t="str">
        <f aca="false">IF(A23="","",C23*D23)</f>
        <v/>
      </c>
      <c r="G23" s="14" t="str">
        <f aca="false">IF(A23="","",E23*D23)</f>
        <v/>
      </c>
      <c r="H23" s="14" t="str">
        <f aca="false">IF(A23="","",F23-G23)</f>
        <v/>
      </c>
      <c r="I23" s="12" t="str">
        <f aca="false">IF(OR(A23="",F23=0),"",H23/F23)</f>
        <v/>
      </c>
      <c r="J23" s="12" t="str">
        <f aca="false">IF(OR(A23="",C23=0),"",E23/C23)</f>
        <v/>
      </c>
      <c r="K23" s="33" t="str">
        <f aca="false">IF(A23="","",IF(AND(D23&gt;=$D$25,I23&gt;=$I$25),"⭐ Estrella (mantener)",IF(D23&gt;=$D$25,"🐮 Popular con poco margen (subir precio o bajar coste)",IF(I23&gt;=$I$25,"🧩 Rentable poco pedido (promocionar)","🐕 Revisar o retirar"))))</f>
        <v/>
      </c>
    </row>
    <row r="24" customFormat="false" ht="15" hidden="false" customHeight="false" outlineLevel="0" collapsed="false">
      <c r="A24" s="24" t="s">
        <v>73</v>
      </c>
      <c r="F24" s="26" t="n">
        <f aca="false">SUM(F4:F23)</f>
        <v>30511</v>
      </c>
      <c r="G24" s="26" t="n">
        <f aca="false">SUM(G4:G23)</f>
        <v>7969.44684196187</v>
      </c>
      <c r="H24" s="26" t="n">
        <f aca="false">SUM(H4:H23)</f>
        <v>22541.5531580381</v>
      </c>
      <c r="I24" s="34" t="n">
        <f aca="false">IF(F24=0,"",H24/F24)</f>
        <v>0.738800863886406</v>
      </c>
    </row>
    <row r="25" customFormat="false" ht="15" hidden="false" customHeight="false" outlineLevel="0" collapsed="false">
      <c r="A25" s="35" t="s">
        <v>146</v>
      </c>
      <c r="D25" s="36" t="n">
        <f aca="false">IFERROR(AVERAGEIF($A$4:$A$23,"&lt;&gt;",$D$4:$D$23),0)</f>
        <v>211.666666666667</v>
      </c>
      <c r="I25" s="37" t="n">
        <f aca="false">IFERROR(AVERAGEIF($A$4:$A$23,"&lt;&gt;",$I$4:$I$23),0)</f>
        <v>0.740238654165756</v>
      </c>
    </row>
    <row r="27" customFormat="false" ht="15" hidden="false" customHeight="false" outlineLevel="0" collapsed="false">
      <c r="A27" s="5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6" min="4" style="0" width="13"/>
    <col collapsed="false" customWidth="true" hidden="false" outlineLevel="0" max="7" min="7" style="0" width="12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148</v>
      </c>
    </row>
    <row r="3" customFormat="false" ht="15" hidden="false" customHeight="false" outlineLevel="0" collapsed="false">
      <c r="A3" s="20" t="s">
        <v>149</v>
      </c>
      <c r="B3" s="20" t="s">
        <v>150</v>
      </c>
      <c r="C3" s="20" t="s">
        <v>133</v>
      </c>
      <c r="D3" s="20" t="s">
        <v>134</v>
      </c>
      <c r="E3" s="20" t="s">
        <v>136</v>
      </c>
      <c r="F3" s="20" t="s">
        <v>137</v>
      </c>
      <c r="G3" s="20" t="s">
        <v>138</v>
      </c>
      <c r="H3" s="20" t="s">
        <v>139</v>
      </c>
    </row>
    <row r="4" customFormat="false" ht="15" hidden="false" customHeight="false" outlineLevel="0" collapsed="false">
      <c r="A4" s="28" t="s">
        <v>151</v>
      </c>
      <c r="B4" s="18" t="n">
        <v>0.4</v>
      </c>
      <c r="C4" s="18" t="n">
        <v>2.2</v>
      </c>
      <c r="D4" s="22" t="n">
        <v>1600</v>
      </c>
      <c r="E4" s="14" t="n">
        <f aca="false">IF(A4="","",C4*D4)</f>
        <v>3520</v>
      </c>
      <c r="F4" s="14" t="n">
        <f aca="false">IF(A4="","",B4*D4)</f>
        <v>640</v>
      </c>
      <c r="G4" s="14" t="n">
        <f aca="false">IF(A4="","",E4-F4)</f>
        <v>2880</v>
      </c>
      <c r="H4" s="12" t="n">
        <f aca="false">IF(OR(A4="",E4=0),"",G4/E4)</f>
        <v>0.818181818181818</v>
      </c>
    </row>
    <row r="5" customFormat="false" ht="15" hidden="false" customHeight="false" outlineLevel="0" collapsed="false">
      <c r="A5" s="28" t="s">
        <v>152</v>
      </c>
      <c r="B5" s="18" t="n">
        <v>1.1</v>
      </c>
      <c r="C5" s="18" t="n">
        <v>3.5</v>
      </c>
      <c r="D5" s="22" t="n">
        <v>700</v>
      </c>
      <c r="E5" s="14" t="n">
        <f aca="false">IF(A5="","",C5*D5)</f>
        <v>2450</v>
      </c>
      <c r="F5" s="14" t="n">
        <f aca="false">IF(A5="","",B5*D5)</f>
        <v>770</v>
      </c>
      <c r="G5" s="14" t="n">
        <f aca="false">IF(A5="","",E5-F5)</f>
        <v>1680</v>
      </c>
      <c r="H5" s="12" t="n">
        <f aca="false">IF(OR(A5="",E5=0),"",G5/E5)</f>
        <v>0.685714285714286</v>
      </c>
    </row>
    <row r="6" customFormat="false" ht="15" hidden="false" customHeight="false" outlineLevel="0" collapsed="false">
      <c r="A6" s="28" t="s">
        <v>153</v>
      </c>
      <c r="B6" s="18" t="n">
        <v>6.5</v>
      </c>
      <c r="C6" s="18" t="n">
        <v>16</v>
      </c>
      <c r="D6" s="22" t="n">
        <v>120</v>
      </c>
      <c r="E6" s="14" t="n">
        <f aca="false">IF(A6="","",C6*D6)</f>
        <v>1920</v>
      </c>
      <c r="F6" s="14" t="n">
        <f aca="false">IF(A6="","",B6*D6)</f>
        <v>780</v>
      </c>
      <c r="G6" s="14" t="n">
        <f aca="false">IF(A6="","",E6-F6)</f>
        <v>1140</v>
      </c>
      <c r="H6" s="12" t="n">
        <f aca="false">IF(OR(A6="",E6=0),"",G6/E6)</f>
        <v>0.59375</v>
      </c>
    </row>
    <row r="7" customFormat="false" ht="15" hidden="false" customHeight="false" outlineLevel="0" collapsed="false">
      <c r="A7" s="28" t="s">
        <v>154</v>
      </c>
      <c r="B7" s="18" t="n">
        <v>0.45</v>
      </c>
      <c r="C7" s="18" t="n">
        <v>2.5</v>
      </c>
      <c r="D7" s="22" t="n">
        <v>900</v>
      </c>
      <c r="E7" s="14" t="n">
        <f aca="false">IF(A7="","",C7*D7)</f>
        <v>2250</v>
      </c>
      <c r="F7" s="14" t="n">
        <f aca="false">IF(A7="","",B7*D7)</f>
        <v>405</v>
      </c>
      <c r="G7" s="14" t="n">
        <f aca="false">IF(A7="","",E7-F7)</f>
        <v>1845</v>
      </c>
      <c r="H7" s="12" t="n">
        <f aca="false">IF(OR(A7="",E7=0),"",G7/E7)</f>
        <v>0.82</v>
      </c>
    </row>
    <row r="8" customFormat="false" ht="15" hidden="false" customHeight="false" outlineLevel="0" collapsed="false">
      <c r="A8" s="28" t="s">
        <v>155</v>
      </c>
      <c r="B8" s="18" t="n">
        <v>0.3</v>
      </c>
      <c r="C8" s="18" t="n">
        <v>1.8</v>
      </c>
      <c r="D8" s="22" t="n">
        <v>800</v>
      </c>
      <c r="E8" s="14" t="n">
        <f aca="false">IF(A8="","",C8*D8)</f>
        <v>1440</v>
      </c>
      <c r="F8" s="14" t="n">
        <f aca="false">IF(A8="","",B8*D8)</f>
        <v>240</v>
      </c>
      <c r="G8" s="14" t="n">
        <f aca="false">IF(A8="","",E8-F8)</f>
        <v>1200</v>
      </c>
      <c r="H8" s="12" t="n">
        <f aca="false">IF(OR(A8="",E8=0),"",G8/E8)</f>
        <v>0.833333333333333</v>
      </c>
    </row>
    <row r="9" customFormat="false" ht="15" hidden="false" customHeight="false" outlineLevel="0" collapsed="false">
      <c r="A9" s="28" t="s">
        <v>156</v>
      </c>
      <c r="B9" s="18" t="n">
        <v>0.25</v>
      </c>
      <c r="C9" s="18" t="n">
        <v>1.5</v>
      </c>
      <c r="D9" s="22" t="n">
        <v>1100</v>
      </c>
      <c r="E9" s="14" t="n">
        <f aca="false">IF(A9="","",C9*D9)</f>
        <v>1650</v>
      </c>
      <c r="F9" s="14" t="n">
        <f aca="false">IF(A9="","",B9*D9)</f>
        <v>275</v>
      </c>
      <c r="G9" s="14" t="n">
        <f aca="false">IF(A9="","",E9-F9)</f>
        <v>1375</v>
      </c>
      <c r="H9" s="12" t="n">
        <f aca="false">IF(OR(A9="",E9=0),"",G9/E9)</f>
        <v>0.833333333333333</v>
      </c>
    </row>
    <row r="10" customFormat="false" ht="15" hidden="false" customHeight="false" outlineLevel="0" collapsed="false">
      <c r="A10" s="28" t="s">
        <v>157</v>
      </c>
      <c r="B10" s="18" t="n">
        <v>1.8</v>
      </c>
      <c r="C10" s="18" t="n">
        <v>7</v>
      </c>
      <c r="D10" s="22" t="n">
        <v>150</v>
      </c>
      <c r="E10" s="14" t="n">
        <f aca="false">IF(A10="","",C10*D10)</f>
        <v>1050</v>
      </c>
      <c r="F10" s="14" t="n">
        <f aca="false">IF(A10="","",B10*D10)</f>
        <v>270</v>
      </c>
      <c r="G10" s="14" t="n">
        <f aca="false">IF(A10="","",E10-F10)</f>
        <v>780</v>
      </c>
      <c r="H10" s="12" t="n">
        <f aca="false">IF(OR(A10="",E10=0),"",G10/E10)</f>
        <v>0.742857142857143</v>
      </c>
    </row>
    <row r="11" customFormat="false" ht="15" hidden="false" customHeight="false" outlineLevel="0" collapsed="false">
      <c r="A11" s="28" t="s">
        <v>158</v>
      </c>
      <c r="B11" s="18" t="n">
        <v>0.6</v>
      </c>
      <c r="C11" s="18" t="n">
        <v>3</v>
      </c>
      <c r="D11" s="22" t="n">
        <v>120</v>
      </c>
      <c r="E11" s="14" t="n">
        <f aca="false">IF(A11="","",C11*D11)</f>
        <v>360</v>
      </c>
      <c r="F11" s="14" t="n">
        <f aca="false">IF(A11="","",B11*D11)</f>
        <v>72</v>
      </c>
      <c r="G11" s="14" t="n">
        <f aca="false">IF(A11="","",E11-F11)</f>
        <v>288</v>
      </c>
      <c r="H11" s="12" t="n">
        <f aca="false">IF(OR(A11="",E11=0),"",G11/E11)</f>
        <v>0.8</v>
      </c>
    </row>
    <row r="12" customFormat="false" ht="15" hidden="false" customHeight="false" outlineLevel="0" collapsed="false">
      <c r="A12" s="28"/>
      <c r="B12" s="18"/>
      <c r="C12" s="18"/>
      <c r="D12" s="22"/>
      <c r="E12" s="14" t="str">
        <f aca="false">IF(A12="","",C12*D12)</f>
        <v/>
      </c>
      <c r="F12" s="14" t="str">
        <f aca="false">IF(A12="","",B12*D12)</f>
        <v/>
      </c>
      <c r="G12" s="14" t="str">
        <f aca="false">IF(A12="","",E12-F12)</f>
        <v/>
      </c>
      <c r="H12" s="12" t="str">
        <f aca="false">IF(OR(A12="",E12=0),"",G12/E12)</f>
        <v/>
      </c>
    </row>
    <row r="13" customFormat="false" ht="15" hidden="false" customHeight="false" outlineLevel="0" collapsed="false">
      <c r="A13" s="28"/>
      <c r="B13" s="18"/>
      <c r="C13" s="18"/>
      <c r="D13" s="22"/>
      <c r="E13" s="14" t="str">
        <f aca="false">IF(A13="","",C13*D13)</f>
        <v/>
      </c>
      <c r="F13" s="14" t="str">
        <f aca="false">IF(A13="","",B13*D13)</f>
        <v/>
      </c>
      <c r="G13" s="14" t="str">
        <f aca="false">IF(A13="","",E13-F13)</f>
        <v/>
      </c>
      <c r="H13" s="12" t="str">
        <f aca="false">IF(OR(A13="",E13=0),"",G13/E13)</f>
        <v/>
      </c>
    </row>
    <row r="14" customFormat="false" ht="15" hidden="false" customHeight="false" outlineLevel="0" collapsed="false">
      <c r="A14" s="28"/>
      <c r="B14" s="18"/>
      <c r="C14" s="18"/>
      <c r="D14" s="22"/>
      <c r="E14" s="14" t="str">
        <f aca="false">IF(A14="","",C14*D14)</f>
        <v/>
      </c>
      <c r="F14" s="14" t="str">
        <f aca="false">IF(A14="","",B14*D14)</f>
        <v/>
      </c>
      <c r="G14" s="14" t="str">
        <f aca="false">IF(A14="","",E14-F14)</f>
        <v/>
      </c>
      <c r="H14" s="12" t="str">
        <f aca="false">IF(OR(A14="",E14=0),"",G14/E14)</f>
        <v/>
      </c>
    </row>
    <row r="15" customFormat="false" ht="15" hidden="false" customHeight="false" outlineLevel="0" collapsed="false">
      <c r="A15" s="28"/>
      <c r="B15" s="18"/>
      <c r="C15" s="18"/>
      <c r="D15" s="22"/>
      <c r="E15" s="14" t="str">
        <f aca="false">IF(A15="","",C15*D15)</f>
        <v/>
      </c>
      <c r="F15" s="14" t="str">
        <f aca="false">IF(A15="","",B15*D15)</f>
        <v/>
      </c>
      <c r="G15" s="14" t="str">
        <f aca="false">IF(A15="","",E15-F15)</f>
        <v/>
      </c>
      <c r="H15" s="12" t="str">
        <f aca="false">IF(OR(A15="",E15=0),"",G15/E15)</f>
        <v/>
      </c>
    </row>
    <row r="16" customFormat="false" ht="15" hidden="false" customHeight="false" outlineLevel="0" collapsed="false">
      <c r="A16" s="24" t="s">
        <v>73</v>
      </c>
      <c r="E16" s="26" t="n">
        <f aca="false">SUM(E4:E15)</f>
        <v>14640</v>
      </c>
      <c r="F16" s="26" t="n">
        <f aca="false">SUM(F4:F15)</f>
        <v>3452</v>
      </c>
      <c r="G16" s="26" t="n">
        <f aca="false">SUM(G4:G15)</f>
        <v>11188</v>
      </c>
      <c r="H16" s="34" t="n">
        <f aca="false">IF(E16=0,"",G16/E16)</f>
        <v>0.764207650273224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" t="s">
        <v>159</v>
      </c>
    </row>
    <row r="3" customFormat="false" ht="15" hidden="false" customHeight="false" outlineLevel="0" collapsed="false">
      <c r="A3" s="20" t="s">
        <v>160</v>
      </c>
      <c r="B3" s="20" t="s">
        <v>161</v>
      </c>
      <c r="C3" s="20" t="s">
        <v>162</v>
      </c>
      <c r="D3" s="20" t="s">
        <v>163</v>
      </c>
      <c r="E3" s="20" t="s">
        <v>137</v>
      </c>
    </row>
    <row r="4" customFormat="false" ht="15" hidden="false" customHeight="false" outlineLevel="0" collapsed="false">
      <c r="A4" s="28" t="s">
        <v>164</v>
      </c>
      <c r="B4" s="23" t="n">
        <v>2100</v>
      </c>
      <c r="C4" s="31" t="n">
        <v>0.32</v>
      </c>
      <c r="D4" s="14" t="n">
        <f aca="false">IF(B4="","",B4*C4)</f>
        <v>672</v>
      </c>
      <c r="E4" s="14" t="n">
        <f aca="false">IF(B4="","",B4+D4)</f>
        <v>2772</v>
      </c>
    </row>
    <row r="5" customFormat="false" ht="15" hidden="false" customHeight="false" outlineLevel="0" collapsed="false">
      <c r="A5" s="28" t="s">
        <v>165</v>
      </c>
      <c r="B5" s="23" t="n">
        <v>1650</v>
      </c>
      <c r="C5" s="31" t="n">
        <v>0.32</v>
      </c>
      <c r="D5" s="14" t="n">
        <f aca="false">IF(B5="","",B5*C5)</f>
        <v>528</v>
      </c>
      <c r="E5" s="14" t="n">
        <f aca="false">IF(B5="","",B5+D5)</f>
        <v>2178</v>
      </c>
    </row>
    <row r="6" customFormat="false" ht="15" hidden="false" customHeight="false" outlineLevel="0" collapsed="false">
      <c r="A6" s="28" t="s">
        <v>166</v>
      </c>
      <c r="B6" s="23" t="n">
        <v>1400</v>
      </c>
      <c r="C6" s="31" t="n">
        <v>0.32</v>
      </c>
      <c r="D6" s="14" t="n">
        <f aca="false">IF(B6="","",B6*C6)</f>
        <v>448</v>
      </c>
      <c r="E6" s="14" t="n">
        <f aca="false">IF(B6="","",B6+D6)</f>
        <v>1848</v>
      </c>
    </row>
    <row r="7" customFormat="false" ht="15" hidden="false" customHeight="false" outlineLevel="0" collapsed="false">
      <c r="A7" s="28" t="s">
        <v>167</v>
      </c>
      <c r="B7" s="23" t="n">
        <v>1800</v>
      </c>
      <c r="C7" s="31" t="n">
        <v>0.32</v>
      </c>
      <c r="D7" s="14" t="n">
        <f aca="false">IF(B7="","",B7*C7)</f>
        <v>576</v>
      </c>
      <c r="E7" s="14" t="n">
        <f aca="false">IF(B7="","",B7+D7)</f>
        <v>2376</v>
      </c>
    </row>
    <row r="8" customFormat="false" ht="15" hidden="false" customHeight="false" outlineLevel="0" collapsed="false">
      <c r="A8" s="28" t="s">
        <v>168</v>
      </c>
      <c r="B8" s="23" t="n">
        <v>1400</v>
      </c>
      <c r="C8" s="31" t="n">
        <v>0.32</v>
      </c>
      <c r="D8" s="14" t="n">
        <f aca="false">IF(B8="","",B8*C8)</f>
        <v>448</v>
      </c>
      <c r="E8" s="14" t="n">
        <f aca="false">IF(B8="","",B8+D8)</f>
        <v>1848</v>
      </c>
    </row>
    <row r="9" customFormat="false" ht="15" hidden="false" customHeight="false" outlineLevel="0" collapsed="false">
      <c r="A9" s="28" t="s">
        <v>169</v>
      </c>
      <c r="B9" s="23" t="n">
        <v>1400</v>
      </c>
      <c r="C9" s="31" t="n">
        <v>0.32</v>
      </c>
      <c r="D9" s="14" t="n">
        <f aca="false">IF(B9="","",B9*C9)</f>
        <v>448</v>
      </c>
      <c r="E9" s="14" t="n">
        <f aca="false">IF(B9="","",B9+D9)</f>
        <v>1848</v>
      </c>
    </row>
    <row r="10" customFormat="false" ht="15" hidden="false" customHeight="false" outlineLevel="0" collapsed="false">
      <c r="A10" s="28" t="s">
        <v>170</v>
      </c>
      <c r="B10" s="23" t="n">
        <v>1400</v>
      </c>
      <c r="C10" s="31" t="n">
        <v>0.32</v>
      </c>
      <c r="D10" s="14" t="n">
        <f aca="false">IF(B10="","",B10*C10)</f>
        <v>448</v>
      </c>
      <c r="E10" s="14" t="n">
        <f aca="false">IF(B10="","",B10+D10)</f>
        <v>1848</v>
      </c>
    </row>
    <row r="11" customFormat="false" ht="15" hidden="false" customHeight="false" outlineLevel="0" collapsed="false">
      <c r="A11" s="28" t="s">
        <v>171</v>
      </c>
      <c r="B11" s="23" t="n">
        <v>800</v>
      </c>
      <c r="C11" s="31" t="n">
        <v>0.32</v>
      </c>
      <c r="D11" s="14" t="n">
        <f aca="false">IF(B11="","",B11*C11)</f>
        <v>256</v>
      </c>
      <c r="E11" s="14" t="n">
        <f aca="false">IF(B11="","",B11+D11)</f>
        <v>1056</v>
      </c>
    </row>
    <row r="12" customFormat="false" ht="15" hidden="false" customHeight="false" outlineLevel="0" collapsed="false">
      <c r="A12" s="24" t="s">
        <v>73</v>
      </c>
      <c r="B12" s="26" t="n">
        <f aca="false">SUM(B4:B11)</f>
        <v>11950</v>
      </c>
      <c r="D12" s="26" t="n">
        <f aca="false">SUM(D4:D11)</f>
        <v>3824</v>
      </c>
      <c r="E12" s="26" t="n">
        <f aca="false">SUM(E4:E11)</f>
        <v>15774</v>
      </c>
    </row>
    <row r="14" customFormat="false" ht="15" hidden="false" customHeight="false" outlineLevel="0" collapsed="false">
      <c r="A14" s="5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173</v>
      </c>
    </row>
    <row r="3" customFormat="false" ht="15" hidden="false" customHeight="false" outlineLevel="0" collapsed="false">
      <c r="A3" s="20" t="s">
        <v>174</v>
      </c>
      <c r="B3" s="20" t="s">
        <v>175</v>
      </c>
      <c r="C3" s="20" t="s">
        <v>176</v>
      </c>
    </row>
    <row r="4" customFormat="false" ht="15" hidden="false" customHeight="false" outlineLevel="0" collapsed="false">
      <c r="A4" s="28" t="s">
        <v>177</v>
      </c>
      <c r="B4" s="30" t="s">
        <v>178</v>
      </c>
      <c r="C4" s="23" t="n">
        <v>3200</v>
      </c>
    </row>
    <row r="5" customFormat="false" ht="15" hidden="false" customHeight="false" outlineLevel="0" collapsed="false">
      <c r="A5" s="28" t="s">
        <v>179</v>
      </c>
      <c r="B5" s="30" t="s">
        <v>180</v>
      </c>
      <c r="C5" s="23" t="n">
        <v>950</v>
      </c>
    </row>
    <row r="6" customFormat="false" ht="15" hidden="false" customHeight="false" outlineLevel="0" collapsed="false">
      <c r="A6" s="28" t="s">
        <v>181</v>
      </c>
      <c r="B6" s="30" t="s">
        <v>180</v>
      </c>
      <c r="C6" s="23" t="n">
        <v>380</v>
      </c>
    </row>
    <row r="7" customFormat="false" ht="15" hidden="false" customHeight="false" outlineLevel="0" collapsed="false">
      <c r="A7" s="28" t="s">
        <v>155</v>
      </c>
      <c r="B7" s="30" t="s">
        <v>178</v>
      </c>
      <c r="C7" s="23" t="n">
        <v>160</v>
      </c>
    </row>
    <row r="8" customFormat="false" ht="15" hidden="false" customHeight="false" outlineLevel="0" collapsed="false">
      <c r="A8" s="28" t="s">
        <v>182</v>
      </c>
      <c r="B8" s="30" t="s">
        <v>178</v>
      </c>
      <c r="C8" s="23" t="n">
        <v>250</v>
      </c>
    </row>
    <row r="9" customFormat="false" ht="15" hidden="false" customHeight="false" outlineLevel="0" collapsed="false">
      <c r="A9" s="28" t="s">
        <v>183</v>
      </c>
      <c r="B9" s="30" t="s">
        <v>178</v>
      </c>
      <c r="C9" s="23" t="n">
        <v>600</v>
      </c>
    </row>
    <row r="10" customFormat="false" ht="15" hidden="false" customHeight="false" outlineLevel="0" collapsed="false">
      <c r="A10" s="28" t="s">
        <v>184</v>
      </c>
      <c r="B10" s="30" t="s">
        <v>180</v>
      </c>
      <c r="C10" s="23" t="n">
        <v>900</v>
      </c>
    </row>
    <row r="11" customFormat="false" ht="15" hidden="false" customHeight="false" outlineLevel="0" collapsed="false">
      <c r="A11" s="28" t="s">
        <v>185</v>
      </c>
      <c r="B11" s="30" t="s">
        <v>178</v>
      </c>
      <c r="C11" s="23" t="n">
        <v>140</v>
      </c>
    </row>
    <row r="12" customFormat="false" ht="15" hidden="false" customHeight="false" outlineLevel="0" collapsed="false">
      <c r="A12" s="28" t="s">
        <v>186</v>
      </c>
      <c r="B12" s="30" t="s">
        <v>178</v>
      </c>
      <c r="C12" s="23" t="n">
        <v>200</v>
      </c>
    </row>
    <row r="13" customFormat="false" ht="15" hidden="false" customHeight="false" outlineLevel="0" collapsed="false">
      <c r="A13" s="28" t="s">
        <v>187</v>
      </c>
      <c r="B13" s="30" t="s">
        <v>178</v>
      </c>
      <c r="C13" s="23" t="n">
        <v>60</v>
      </c>
    </row>
    <row r="14" customFormat="false" ht="15" hidden="false" customHeight="false" outlineLevel="0" collapsed="false">
      <c r="A14" s="28" t="s">
        <v>188</v>
      </c>
      <c r="B14" s="30" t="s">
        <v>180</v>
      </c>
      <c r="C14" s="23" t="n">
        <v>250</v>
      </c>
    </row>
    <row r="15" customFormat="false" ht="15" hidden="false" customHeight="false" outlineLevel="0" collapsed="false">
      <c r="A15" s="28" t="s">
        <v>189</v>
      </c>
      <c r="B15" s="30" t="s">
        <v>180</v>
      </c>
      <c r="C15" s="23" t="n">
        <v>150</v>
      </c>
    </row>
    <row r="16" customFormat="false" ht="15" hidden="false" customHeight="false" outlineLevel="0" collapsed="false">
      <c r="A16" s="24" t="s">
        <v>73</v>
      </c>
      <c r="C16" s="26" t="n">
        <f aca="false">SUM(C4:C15)</f>
        <v>7240</v>
      </c>
    </row>
    <row r="17" customFormat="false" ht="15" hidden="false" customHeight="false" outlineLevel="0" collapsed="false">
      <c r="A17" s="35" t="s">
        <v>190</v>
      </c>
      <c r="C17" s="38" t="n">
        <f aca="false">SUMIF(B4:B15,"Fijo",C4:C15)</f>
        <v>4610</v>
      </c>
    </row>
    <row r="18" customFormat="false" ht="15" hidden="false" customHeight="false" outlineLevel="0" collapsed="false">
      <c r="A18" s="35" t="s">
        <v>191</v>
      </c>
      <c r="C18" s="38" t="n">
        <f aca="false">SUMIF(B4:B15,"Variable",C4:C15)</f>
        <v>2630</v>
      </c>
    </row>
    <row r="20" customFormat="false" ht="15" hidden="false" customHeight="false" outlineLevel="0" collapsed="false">
      <c r="A20" s="5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5"/>
  </cols>
  <sheetData>
    <row r="1" customFormat="false" ht="17.35" hidden="false" customHeight="false" outlineLevel="0" collapsed="false">
      <c r="A1" s="1" t="s">
        <v>193</v>
      </c>
    </row>
    <row r="3" customFormat="false" ht="23.85" hidden="false" customHeight="false" outlineLevel="0" collapsed="false">
      <c r="A3" s="20" t="s">
        <v>194</v>
      </c>
      <c r="B3" s="20" t="s">
        <v>195</v>
      </c>
      <c r="C3" s="20" t="s">
        <v>196</v>
      </c>
      <c r="D3" s="20" t="s">
        <v>197</v>
      </c>
      <c r="E3" s="20" t="s">
        <v>198</v>
      </c>
    </row>
    <row r="4" customFormat="false" ht="15" hidden="false" customHeight="false" outlineLevel="0" collapsed="false">
      <c r="A4" s="28" t="s">
        <v>199</v>
      </c>
      <c r="B4" s="23" t="n">
        <v>48000</v>
      </c>
      <c r="C4" s="17" t="n">
        <v>0.045</v>
      </c>
      <c r="D4" s="23" t="n">
        <v>890</v>
      </c>
      <c r="E4" s="22" t="n">
        <v>60</v>
      </c>
    </row>
    <row r="5" customFormat="false" ht="15" hidden="false" customHeight="false" outlineLevel="0" collapsed="false">
      <c r="A5" s="28" t="s">
        <v>200</v>
      </c>
      <c r="B5" s="23" t="n">
        <v>15000</v>
      </c>
      <c r="C5" s="17" t="n">
        <v>0.062</v>
      </c>
      <c r="D5" s="23" t="n">
        <v>450</v>
      </c>
      <c r="E5" s="22" t="n">
        <v>38</v>
      </c>
    </row>
    <row r="6" customFormat="false" ht="15" hidden="false" customHeight="false" outlineLevel="0" collapsed="false">
      <c r="A6" s="28" t="s">
        <v>201</v>
      </c>
      <c r="B6" s="23" t="n">
        <v>6000</v>
      </c>
      <c r="C6" s="17" t="n">
        <v>0</v>
      </c>
      <c r="D6" s="23" t="n">
        <v>500</v>
      </c>
      <c r="E6" s="22" t="n">
        <v>12</v>
      </c>
    </row>
    <row r="7" customFormat="false" ht="15" hidden="false" customHeight="false" outlineLevel="0" collapsed="false">
      <c r="A7" s="28"/>
      <c r="B7" s="23"/>
      <c r="C7" s="17"/>
      <c r="D7" s="23"/>
      <c r="E7" s="22"/>
    </row>
    <row r="8" customFormat="false" ht="15" hidden="false" customHeight="false" outlineLevel="0" collapsed="false">
      <c r="A8" s="28"/>
      <c r="B8" s="23"/>
      <c r="C8" s="17"/>
      <c r="D8" s="23"/>
      <c r="E8" s="22"/>
    </row>
    <row r="9" customFormat="false" ht="15" hidden="false" customHeight="false" outlineLevel="0" collapsed="false">
      <c r="A9" s="28"/>
      <c r="B9" s="23"/>
      <c r="C9" s="17"/>
      <c r="D9" s="23"/>
      <c r="E9" s="22"/>
    </row>
    <row r="10" customFormat="false" ht="15" hidden="false" customHeight="false" outlineLevel="0" collapsed="false">
      <c r="A10" s="28"/>
      <c r="B10" s="23"/>
      <c r="C10" s="17"/>
      <c r="D10" s="23"/>
      <c r="E10" s="22"/>
    </row>
    <row r="11" customFormat="false" ht="15" hidden="false" customHeight="false" outlineLevel="0" collapsed="false">
      <c r="A11" s="24" t="s">
        <v>73</v>
      </c>
      <c r="B11" s="26" t="n">
        <f aca="false">SUM(B4:B10)</f>
        <v>69000</v>
      </c>
      <c r="D11" s="26" t="n">
        <f aca="false">SUM(D4:D10)</f>
        <v>1840</v>
      </c>
    </row>
    <row r="13" customFormat="false" ht="15" hidden="false" customHeight="false" outlineLevel="0" collapsed="false">
      <c r="A13" s="5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2026-08-19T12:50:48Z</dcterms:created>
  <dc:creator>openpyxl</dc:creator>
  <dc:description/>
  <dc:language>es-ES</dc:language>
  <cp:lastModifiedBy/>
  <dcterms:modified xsi:type="dcterms:W3CDTF">2026-08-19T12:50:48Z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